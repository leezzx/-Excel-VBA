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drawings/drawing3.xml" ContentType="application/vnd.openxmlformats-officedocument.drawing+xml"/>
  <Override PartName="/xl/ctrlProps/ctrlProp5.xml" ContentType="application/vnd.ms-excel.controlpropertie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eessx\Desktop\금융공학 VBA\"/>
    </mc:Choice>
  </mc:AlternateContent>
  <xr:revisionPtr revIDLastSave="0" documentId="13_ncr:1_{85986E5E-4898-4DC3-90F5-5CAC8A22B38F}" xr6:coauthVersionLast="46" xr6:coauthVersionMax="46" xr10:uidLastSave="{00000000-0000-0000-0000-000000000000}"/>
  <bookViews>
    <workbookView xWindow="-120" yWindow="-120" windowWidth="20730" windowHeight="11160" xr2:uid="{8192133F-0491-4B7E-A818-515DF0C09EE1}"/>
  </bookViews>
  <sheets>
    <sheet name="종목 코드" sheetId="4" r:id="rId1"/>
    <sheet name="100거래일 주가" sheetId="1" r:id="rId2"/>
    <sheet name="일별 시세" sheetId="2" r:id="rId3"/>
    <sheet name="주가 예측" sheetId="3" r:id="rId4"/>
    <sheet name="투자" sheetId="5" r:id="rId5"/>
  </sheets>
  <functionGroups builtInGroupCount="19"/>
  <definedNames>
    <definedName name="_1" localSheetId="2">'일별 시세'!#REF!</definedName>
    <definedName name="_1_1" localSheetId="2">'일별 시세'!#REF!</definedName>
    <definedName name="_1_10" localSheetId="2">'일별 시세'!#REF!</definedName>
    <definedName name="_1_100" localSheetId="2">'일별 시세'!#REF!</definedName>
    <definedName name="_1_101" localSheetId="2">'일별 시세'!#REF!</definedName>
    <definedName name="_1_102" localSheetId="2">'일별 시세'!#REF!</definedName>
    <definedName name="_1_103" localSheetId="2">'일별 시세'!#REF!</definedName>
    <definedName name="_1_104" localSheetId="2">'일별 시세'!#REF!</definedName>
    <definedName name="_1_105" localSheetId="2">'일별 시세'!#REF!</definedName>
    <definedName name="_1_106" localSheetId="2">'일별 시세'!#REF!</definedName>
    <definedName name="_1_107" localSheetId="2">'일별 시세'!#REF!</definedName>
    <definedName name="_1_108" localSheetId="2">'일별 시세'!#REF!</definedName>
    <definedName name="_1_109" localSheetId="2">'일별 시세'!#REF!</definedName>
    <definedName name="_1_11" localSheetId="2">'일별 시세'!#REF!</definedName>
    <definedName name="_1_110" localSheetId="2">'일별 시세'!#REF!</definedName>
    <definedName name="_1_111" localSheetId="2">'일별 시세'!#REF!</definedName>
    <definedName name="_1_112" localSheetId="2">'일별 시세'!#REF!</definedName>
    <definedName name="_1_113" localSheetId="2">'일별 시세'!#REF!</definedName>
    <definedName name="_1_114" localSheetId="2">'일별 시세'!#REF!</definedName>
    <definedName name="_1_115" localSheetId="2">'일별 시세'!#REF!</definedName>
    <definedName name="_1_116" localSheetId="2">'일별 시세'!#REF!</definedName>
    <definedName name="_1_117" localSheetId="2">'일별 시세'!#REF!</definedName>
    <definedName name="_1_118" localSheetId="2">'일별 시세'!#REF!</definedName>
    <definedName name="_1_119" localSheetId="2">'일별 시세'!#REF!</definedName>
    <definedName name="_1_12" localSheetId="2">'일별 시세'!#REF!</definedName>
    <definedName name="_1_120" localSheetId="2">'일별 시세'!#REF!</definedName>
    <definedName name="_1_121" localSheetId="2">'일별 시세'!#REF!</definedName>
    <definedName name="_1_122" localSheetId="2">'일별 시세'!#REF!</definedName>
    <definedName name="_1_123" localSheetId="2">'일별 시세'!#REF!</definedName>
    <definedName name="_1_124" localSheetId="2">'일별 시세'!#REF!</definedName>
    <definedName name="_1_125" localSheetId="2">'일별 시세'!#REF!</definedName>
    <definedName name="_1_126" localSheetId="2">'일별 시세'!#REF!</definedName>
    <definedName name="_1_127" localSheetId="2">'일별 시세'!#REF!</definedName>
    <definedName name="_1_128" localSheetId="2">'일별 시세'!#REF!</definedName>
    <definedName name="_1_129" localSheetId="2">'일별 시세'!#REF!</definedName>
    <definedName name="_1_13" localSheetId="2">'일별 시세'!#REF!</definedName>
    <definedName name="_1_130" localSheetId="2">'일별 시세'!#REF!</definedName>
    <definedName name="_1_131" localSheetId="2">'일별 시세'!#REF!</definedName>
    <definedName name="_1_132" localSheetId="2">'일별 시세'!#REF!</definedName>
    <definedName name="_1_133" localSheetId="2">'일별 시세'!#REF!</definedName>
    <definedName name="_1_134" localSheetId="2">'일별 시세'!$A$2:$G$15</definedName>
    <definedName name="_1_14" localSheetId="2">'일별 시세'!#REF!</definedName>
    <definedName name="_1_15" localSheetId="2">'일별 시세'!#REF!</definedName>
    <definedName name="_1_16" localSheetId="2">'일별 시세'!#REF!</definedName>
    <definedName name="_1_17" localSheetId="2">'일별 시세'!#REF!</definedName>
    <definedName name="_1_18" localSheetId="2">'일별 시세'!#REF!</definedName>
    <definedName name="_1_19" localSheetId="2">'일별 시세'!#REF!</definedName>
    <definedName name="_1_2" localSheetId="2">'일별 시세'!#REF!</definedName>
    <definedName name="_1_20" localSheetId="2">'일별 시세'!#REF!</definedName>
    <definedName name="_1_21" localSheetId="2">'일별 시세'!#REF!</definedName>
    <definedName name="_1_22" localSheetId="2">'일별 시세'!#REF!</definedName>
    <definedName name="_1_23" localSheetId="2">'일별 시세'!#REF!</definedName>
    <definedName name="_1_24" localSheetId="2">'일별 시세'!#REF!</definedName>
    <definedName name="_1_25" localSheetId="2">'일별 시세'!#REF!</definedName>
    <definedName name="_1_26" localSheetId="2">'일별 시세'!#REF!</definedName>
    <definedName name="_1_27" localSheetId="2">'일별 시세'!#REF!</definedName>
    <definedName name="_1_28" localSheetId="2">'일별 시세'!#REF!</definedName>
    <definedName name="_1_29" localSheetId="2">'일별 시세'!#REF!</definedName>
    <definedName name="_1_3" localSheetId="2">'일별 시세'!#REF!</definedName>
    <definedName name="_1_30" localSheetId="2">'일별 시세'!#REF!</definedName>
    <definedName name="_1_31" localSheetId="2">'일별 시세'!#REF!</definedName>
    <definedName name="_1_32" localSheetId="2">'일별 시세'!#REF!</definedName>
    <definedName name="_1_33" localSheetId="2">'일별 시세'!#REF!</definedName>
    <definedName name="_1_34" localSheetId="2">'일별 시세'!#REF!</definedName>
    <definedName name="_1_35" localSheetId="2">'일별 시세'!#REF!</definedName>
    <definedName name="_1_36" localSheetId="2">'일별 시세'!#REF!</definedName>
    <definedName name="_1_37" localSheetId="2">'일별 시세'!#REF!</definedName>
    <definedName name="_1_38" localSheetId="2">'일별 시세'!#REF!</definedName>
    <definedName name="_1_39" localSheetId="2">'일별 시세'!#REF!</definedName>
    <definedName name="_1_4" localSheetId="2">'일별 시세'!#REF!</definedName>
    <definedName name="_1_40" localSheetId="2">'일별 시세'!#REF!</definedName>
    <definedName name="_1_41" localSheetId="2">'일별 시세'!#REF!</definedName>
    <definedName name="_1_42" localSheetId="2">'일별 시세'!#REF!</definedName>
    <definedName name="_1_43" localSheetId="2">'일별 시세'!#REF!</definedName>
    <definedName name="_1_44" localSheetId="2">'일별 시세'!#REF!</definedName>
    <definedName name="_1_45" localSheetId="2">'일별 시세'!#REF!</definedName>
    <definedName name="_1_46" localSheetId="2">'일별 시세'!#REF!</definedName>
    <definedName name="_1_47" localSheetId="2">'일별 시세'!#REF!</definedName>
    <definedName name="_1_48" localSheetId="2">'일별 시세'!#REF!</definedName>
    <definedName name="_1_49" localSheetId="2">'일별 시세'!#REF!</definedName>
    <definedName name="_1_5" localSheetId="2">'일별 시세'!#REF!</definedName>
    <definedName name="_1_50" localSheetId="2">'일별 시세'!#REF!</definedName>
    <definedName name="_1_51" localSheetId="2">'일별 시세'!#REF!</definedName>
    <definedName name="_1_52" localSheetId="2">'일별 시세'!#REF!</definedName>
    <definedName name="_1_53" localSheetId="2">'일별 시세'!#REF!</definedName>
    <definedName name="_1_54" localSheetId="2">'일별 시세'!#REF!</definedName>
    <definedName name="_1_55" localSheetId="2">'일별 시세'!#REF!</definedName>
    <definedName name="_1_56" localSheetId="2">'일별 시세'!#REF!</definedName>
    <definedName name="_1_57" localSheetId="2">'일별 시세'!#REF!</definedName>
    <definedName name="_1_58" localSheetId="2">'일별 시세'!#REF!</definedName>
    <definedName name="_1_59" localSheetId="2">'일별 시세'!#REF!</definedName>
    <definedName name="_1_6" localSheetId="2">'일별 시세'!#REF!</definedName>
    <definedName name="_1_60" localSheetId="2">'일별 시세'!#REF!</definedName>
    <definedName name="_1_61" localSheetId="2">'일별 시세'!#REF!</definedName>
    <definedName name="_1_62" localSheetId="2">'일별 시세'!#REF!</definedName>
    <definedName name="_1_63" localSheetId="2">'일별 시세'!#REF!</definedName>
    <definedName name="_1_64" localSheetId="2">'일별 시세'!#REF!</definedName>
    <definedName name="_1_65" localSheetId="2">'일별 시세'!#REF!</definedName>
    <definedName name="_1_66" localSheetId="2">'일별 시세'!#REF!</definedName>
    <definedName name="_1_67" localSheetId="2">'일별 시세'!#REF!</definedName>
    <definedName name="_1_68" localSheetId="2">'일별 시세'!#REF!</definedName>
    <definedName name="_1_69" localSheetId="2">'일별 시세'!#REF!</definedName>
    <definedName name="_1_7" localSheetId="2">'일별 시세'!#REF!</definedName>
    <definedName name="_1_70" localSheetId="2">'일별 시세'!#REF!</definedName>
    <definedName name="_1_71" localSheetId="2">'일별 시세'!#REF!</definedName>
    <definedName name="_1_72" localSheetId="2">'일별 시세'!#REF!</definedName>
    <definedName name="_1_73" localSheetId="2">'일별 시세'!#REF!</definedName>
    <definedName name="_1_74" localSheetId="2">'일별 시세'!#REF!</definedName>
    <definedName name="_1_75" localSheetId="2">'일별 시세'!#REF!</definedName>
    <definedName name="_1_76" localSheetId="2">'일별 시세'!#REF!</definedName>
    <definedName name="_1_77" localSheetId="2">'일별 시세'!#REF!</definedName>
    <definedName name="_1_78" localSheetId="2">'일별 시세'!#REF!</definedName>
    <definedName name="_1_79" localSheetId="2">'일별 시세'!#REF!</definedName>
    <definedName name="_1_8" localSheetId="2">'일별 시세'!#REF!</definedName>
    <definedName name="_1_80" localSheetId="2">'일별 시세'!#REF!</definedName>
    <definedName name="_1_81" localSheetId="2">'일별 시세'!#REF!</definedName>
    <definedName name="_1_82" localSheetId="2">'일별 시세'!#REF!</definedName>
    <definedName name="_1_83" localSheetId="2">'일별 시세'!#REF!</definedName>
    <definedName name="_1_84" localSheetId="2">'일별 시세'!#REF!</definedName>
    <definedName name="_1_85" localSheetId="2">'일별 시세'!#REF!</definedName>
    <definedName name="_1_86" localSheetId="2">'일별 시세'!#REF!</definedName>
    <definedName name="_1_87" localSheetId="2">'일별 시세'!#REF!</definedName>
    <definedName name="_1_88" localSheetId="2">'일별 시세'!#REF!</definedName>
    <definedName name="_1_89" localSheetId="2">'일별 시세'!#REF!</definedName>
    <definedName name="_1_9" localSheetId="2">'일별 시세'!#REF!</definedName>
    <definedName name="_1_90" localSheetId="2">'일별 시세'!#REF!</definedName>
    <definedName name="_1_91" localSheetId="2">'일별 시세'!#REF!</definedName>
    <definedName name="_1_92" localSheetId="2">'일별 시세'!#REF!</definedName>
    <definedName name="_1_93" localSheetId="2">'일별 시세'!#REF!</definedName>
    <definedName name="_1_94" localSheetId="2">'일별 시세'!#REF!</definedName>
    <definedName name="_1_95" localSheetId="2">'일별 시세'!#REF!</definedName>
    <definedName name="_1_96" localSheetId="2">'일별 시세'!#REF!</definedName>
    <definedName name="_1_97" localSheetId="2">'일별 시세'!#REF!</definedName>
    <definedName name="_1_98" localSheetId="2">'일별 시세'!#REF!</definedName>
    <definedName name="_1_99" localSheetId="2">'일별 시세'!#REF!</definedName>
    <definedName name="_10" localSheetId="2">'일별 시세'!#REF!</definedName>
    <definedName name="_10_1" localSheetId="2">'일별 시세'!#REF!</definedName>
    <definedName name="_10_10" localSheetId="2">'일별 시세'!#REF!</definedName>
    <definedName name="_10_100" localSheetId="2">'일별 시세'!#REF!</definedName>
    <definedName name="_10_101" localSheetId="2">'일별 시세'!#REF!</definedName>
    <definedName name="_10_102" localSheetId="2">'일별 시세'!#REF!</definedName>
    <definedName name="_10_103" localSheetId="2">'일별 시세'!#REF!</definedName>
    <definedName name="_10_104" localSheetId="2">'일별 시세'!#REF!</definedName>
    <definedName name="_10_105" localSheetId="2">'일별 시세'!#REF!</definedName>
    <definedName name="_10_106" localSheetId="2">'일별 시세'!#REF!</definedName>
    <definedName name="_10_107" localSheetId="2">'일별 시세'!#REF!</definedName>
    <definedName name="_10_108" localSheetId="2">'일별 시세'!#REF!</definedName>
    <definedName name="_10_109" localSheetId="2">'일별 시세'!#REF!</definedName>
    <definedName name="_10_11" localSheetId="2">'일별 시세'!#REF!</definedName>
    <definedName name="_10_110" localSheetId="2">'일별 시세'!#REF!</definedName>
    <definedName name="_10_111" localSheetId="2">'일별 시세'!#REF!</definedName>
    <definedName name="_10_112" localSheetId="2">'일별 시세'!#REF!</definedName>
    <definedName name="_10_113" localSheetId="2">'일별 시세'!#REF!</definedName>
    <definedName name="_10_114" localSheetId="2">'일별 시세'!#REF!</definedName>
    <definedName name="_10_115" localSheetId="2">'일별 시세'!#REF!</definedName>
    <definedName name="_10_116" localSheetId="2">'일별 시세'!#REF!</definedName>
    <definedName name="_10_117" localSheetId="2">'일별 시세'!#REF!</definedName>
    <definedName name="_10_118" localSheetId="2">'일별 시세'!#REF!</definedName>
    <definedName name="_10_119" localSheetId="2">'일별 시세'!#REF!</definedName>
    <definedName name="_10_12" localSheetId="2">'일별 시세'!#REF!</definedName>
    <definedName name="_10_120" localSheetId="2">'일별 시세'!#REF!</definedName>
    <definedName name="_10_121" localSheetId="2">'일별 시세'!#REF!</definedName>
    <definedName name="_10_122" localSheetId="2">'일별 시세'!#REF!</definedName>
    <definedName name="_10_123" localSheetId="2">'일별 시세'!#REF!</definedName>
    <definedName name="_10_124" localSheetId="2">'일별 시세'!#REF!</definedName>
    <definedName name="_10_125" localSheetId="2">'일별 시세'!#REF!</definedName>
    <definedName name="_10_126" localSheetId="2">'일별 시세'!#REF!</definedName>
    <definedName name="_10_127" localSheetId="2">'일별 시세'!#REF!</definedName>
    <definedName name="_10_128" localSheetId="2">'일별 시세'!#REF!</definedName>
    <definedName name="_10_129" localSheetId="2">'일별 시세'!#REF!</definedName>
    <definedName name="_10_13" localSheetId="2">'일별 시세'!#REF!</definedName>
    <definedName name="_10_130" localSheetId="2">'일별 시세'!#REF!</definedName>
    <definedName name="_10_131" localSheetId="2">'일별 시세'!#REF!</definedName>
    <definedName name="_10_132" localSheetId="2">'일별 시세'!#REF!</definedName>
    <definedName name="_10_133" localSheetId="2">'일별 시세'!#REF!</definedName>
    <definedName name="_10_134" localSheetId="2">'일별 시세'!$BL$2:$BR$15</definedName>
    <definedName name="_10_14" localSheetId="2">'일별 시세'!#REF!</definedName>
    <definedName name="_10_15" localSheetId="2">'일별 시세'!#REF!</definedName>
    <definedName name="_10_16" localSheetId="2">'일별 시세'!#REF!</definedName>
    <definedName name="_10_17" localSheetId="2">'일별 시세'!#REF!</definedName>
    <definedName name="_10_18" localSheetId="2">'일별 시세'!#REF!</definedName>
    <definedName name="_10_19" localSheetId="2">'일별 시세'!#REF!</definedName>
    <definedName name="_10_2" localSheetId="2">'일별 시세'!#REF!</definedName>
    <definedName name="_10_20" localSheetId="2">'일별 시세'!#REF!</definedName>
    <definedName name="_10_21" localSheetId="2">'일별 시세'!#REF!</definedName>
    <definedName name="_10_22" localSheetId="2">'일별 시세'!#REF!</definedName>
    <definedName name="_10_23" localSheetId="2">'일별 시세'!#REF!</definedName>
    <definedName name="_10_24" localSheetId="2">'일별 시세'!#REF!</definedName>
    <definedName name="_10_25" localSheetId="2">'일별 시세'!#REF!</definedName>
    <definedName name="_10_26" localSheetId="2">'일별 시세'!#REF!</definedName>
    <definedName name="_10_27" localSheetId="2">'일별 시세'!#REF!</definedName>
    <definedName name="_10_28" localSheetId="2">'일별 시세'!#REF!</definedName>
    <definedName name="_10_29" localSheetId="2">'일별 시세'!#REF!</definedName>
    <definedName name="_10_3" localSheetId="2">'일별 시세'!#REF!</definedName>
    <definedName name="_10_30" localSheetId="2">'일별 시세'!#REF!</definedName>
    <definedName name="_10_31" localSheetId="2">'일별 시세'!#REF!</definedName>
    <definedName name="_10_32" localSheetId="2">'일별 시세'!#REF!</definedName>
    <definedName name="_10_33" localSheetId="2">'일별 시세'!#REF!</definedName>
    <definedName name="_10_34" localSheetId="2">'일별 시세'!#REF!</definedName>
    <definedName name="_10_35" localSheetId="2">'일별 시세'!#REF!</definedName>
    <definedName name="_10_36" localSheetId="2">'일별 시세'!#REF!</definedName>
    <definedName name="_10_37" localSheetId="2">'일별 시세'!#REF!</definedName>
    <definedName name="_10_38" localSheetId="2">'일별 시세'!#REF!</definedName>
    <definedName name="_10_39" localSheetId="2">'일별 시세'!#REF!</definedName>
    <definedName name="_10_4" localSheetId="2">'일별 시세'!#REF!</definedName>
    <definedName name="_10_40" localSheetId="2">'일별 시세'!#REF!</definedName>
    <definedName name="_10_41" localSheetId="2">'일별 시세'!#REF!</definedName>
    <definedName name="_10_42" localSheetId="2">'일별 시세'!#REF!</definedName>
    <definedName name="_10_43" localSheetId="2">'일별 시세'!#REF!</definedName>
    <definedName name="_10_44" localSheetId="2">'일별 시세'!#REF!</definedName>
    <definedName name="_10_45" localSheetId="2">'일별 시세'!#REF!</definedName>
    <definedName name="_10_46" localSheetId="2">'일별 시세'!#REF!</definedName>
    <definedName name="_10_47" localSheetId="2">'일별 시세'!#REF!</definedName>
    <definedName name="_10_48" localSheetId="2">'일별 시세'!#REF!</definedName>
    <definedName name="_10_49" localSheetId="2">'일별 시세'!#REF!</definedName>
    <definedName name="_10_5" localSheetId="2">'일별 시세'!#REF!</definedName>
    <definedName name="_10_50" localSheetId="2">'일별 시세'!#REF!</definedName>
    <definedName name="_10_51" localSheetId="2">'일별 시세'!#REF!</definedName>
    <definedName name="_10_52" localSheetId="2">'일별 시세'!#REF!</definedName>
    <definedName name="_10_53" localSheetId="2">'일별 시세'!#REF!</definedName>
    <definedName name="_10_54" localSheetId="2">'일별 시세'!#REF!</definedName>
    <definedName name="_10_55" localSheetId="2">'일별 시세'!#REF!</definedName>
    <definedName name="_10_56" localSheetId="2">'일별 시세'!#REF!</definedName>
    <definedName name="_10_57" localSheetId="2">'일별 시세'!#REF!</definedName>
    <definedName name="_10_58" localSheetId="2">'일별 시세'!#REF!</definedName>
    <definedName name="_10_59" localSheetId="2">'일별 시세'!#REF!</definedName>
    <definedName name="_10_6" localSheetId="2">'일별 시세'!#REF!</definedName>
    <definedName name="_10_60" localSheetId="2">'일별 시세'!#REF!</definedName>
    <definedName name="_10_61" localSheetId="2">'일별 시세'!#REF!</definedName>
    <definedName name="_10_62" localSheetId="2">'일별 시세'!#REF!</definedName>
    <definedName name="_10_63" localSheetId="2">'일별 시세'!#REF!</definedName>
    <definedName name="_10_64" localSheetId="2">'일별 시세'!#REF!</definedName>
    <definedName name="_10_65" localSheetId="2">'일별 시세'!#REF!</definedName>
    <definedName name="_10_66" localSheetId="2">'일별 시세'!#REF!</definedName>
    <definedName name="_10_67" localSheetId="2">'일별 시세'!#REF!</definedName>
    <definedName name="_10_68" localSheetId="2">'일별 시세'!#REF!</definedName>
    <definedName name="_10_69" localSheetId="2">'일별 시세'!#REF!</definedName>
    <definedName name="_10_7" localSheetId="2">'일별 시세'!#REF!</definedName>
    <definedName name="_10_70" localSheetId="2">'일별 시세'!#REF!</definedName>
    <definedName name="_10_71" localSheetId="2">'일별 시세'!#REF!</definedName>
    <definedName name="_10_72" localSheetId="2">'일별 시세'!#REF!</definedName>
    <definedName name="_10_73" localSheetId="2">'일별 시세'!#REF!</definedName>
    <definedName name="_10_74" localSheetId="2">'일별 시세'!#REF!</definedName>
    <definedName name="_10_75" localSheetId="2">'일별 시세'!#REF!</definedName>
    <definedName name="_10_76" localSheetId="2">'일별 시세'!#REF!</definedName>
    <definedName name="_10_77" localSheetId="2">'일별 시세'!#REF!</definedName>
    <definedName name="_10_78" localSheetId="2">'일별 시세'!#REF!</definedName>
    <definedName name="_10_79" localSheetId="2">'일별 시세'!#REF!</definedName>
    <definedName name="_10_8" localSheetId="2">'일별 시세'!#REF!</definedName>
    <definedName name="_10_80" localSheetId="2">'일별 시세'!#REF!</definedName>
    <definedName name="_10_81" localSheetId="2">'일별 시세'!#REF!</definedName>
    <definedName name="_10_82" localSheetId="2">'일별 시세'!#REF!</definedName>
    <definedName name="_10_83" localSheetId="2">'일별 시세'!#REF!</definedName>
    <definedName name="_10_84" localSheetId="2">'일별 시세'!#REF!</definedName>
    <definedName name="_10_85" localSheetId="2">'일별 시세'!#REF!</definedName>
    <definedName name="_10_86" localSheetId="2">'일별 시세'!#REF!</definedName>
    <definedName name="_10_87" localSheetId="2">'일별 시세'!#REF!</definedName>
    <definedName name="_10_88" localSheetId="2">'일별 시세'!#REF!</definedName>
    <definedName name="_10_89" localSheetId="2">'일별 시세'!#REF!</definedName>
    <definedName name="_10_9" localSheetId="2">'일별 시세'!#REF!</definedName>
    <definedName name="_10_90" localSheetId="2">'일별 시세'!#REF!</definedName>
    <definedName name="_10_91" localSheetId="2">'일별 시세'!#REF!</definedName>
    <definedName name="_10_92" localSheetId="2">'일별 시세'!#REF!</definedName>
    <definedName name="_10_93" localSheetId="2">'일별 시세'!#REF!</definedName>
    <definedName name="_10_94" localSheetId="2">'일별 시세'!#REF!</definedName>
    <definedName name="_10_95" localSheetId="2">'일별 시세'!#REF!</definedName>
    <definedName name="_10_96" localSheetId="2">'일별 시세'!#REF!</definedName>
    <definedName name="_10_97" localSheetId="2">'일별 시세'!#REF!</definedName>
    <definedName name="_10_98" localSheetId="2">'일별 시세'!#REF!</definedName>
    <definedName name="_10_99" localSheetId="2">'일별 시세'!#REF!</definedName>
    <definedName name="_2" localSheetId="2">'일별 시세'!#REF!</definedName>
    <definedName name="_2_1" localSheetId="2">'일별 시세'!#REF!</definedName>
    <definedName name="_2_10" localSheetId="2">'일별 시세'!#REF!</definedName>
    <definedName name="_2_100" localSheetId="2">'일별 시세'!#REF!</definedName>
    <definedName name="_2_101" localSheetId="2">'일별 시세'!#REF!</definedName>
    <definedName name="_2_102" localSheetId="2">'일별 시세'!#REF!</definedName>
    <definedName name="_2_103" localSheetId="2">'일별 시세'!#REF!</definedName>
    <definedName name="_2_104" localSheetId="2">'일별 시세'!#REF!</definedName>
    <definedName name="_2_105" localSheetId="2">'일별 시세'!#REF!</definedName>
    <definedName name="_2_106" localSheetId="2">'일별 시세'!#REF!</definedName>
    <definedName name="_2_107" localSheetId="2">'일별 시세'!#REF!</definedName>
    <definedName name="_2_108" localSheetId="2">'일별 시세'!#REF!</definedName>
    <definedName name="_2_109" localSheetId="2">'일별 시세'!#REF!</definedName>
    <definedName name="_2_11" localSheetId="2">'일별 시세'!#REF!</definedName>
    <definedName name="_2_110" localSheetId="2">'일별 시세'!#REF!</definedName>
    <definedName name="_2_111" localSheetId="2">'일별 시세'!#REF!</definedName>
    <definedName name="_2_112" localSheetId="2">'일별 시세'!#REF!</definedName>
    <definedName name="_2_113" localSheetId="2">'일별 시세'!#REF!</definedName>
    <definedName name="_2_114" localSheetId="2">'일별 시세'!#REF!</definedName>
    <definedName name="_2_115" localSheetId="2">'일별 시세'!#REF!</definedName>
    <definedName name="_2_116" localSheetId="2">'일별 시세'!#REF!</definedName>
    <definedName name="_2_117" localSheetId="2">'일별 시세'!#REF!</definedName>
    <definedName name="_2_118" localSheetId="2">'일별 시세'!#REF!</definedName>
    <definedName name="_2_119" localSheetId="2">'일별 시세'!#REF!</definedName>
    <definedName name="_2_12" localSheetId="2">'일별 시세'!#REF!</definedName>
    <definedName name="_2_120" localSheetId="2">'일별 시세'!#REF!</definedName>
    <definedName name="_2_121" localSheetId="2">'일별 시세'!#REF!</definedName>
    <definedName name="_2_122" localSheetId="2">'일별 시세'!#REF!</definedName>
    <definedName name="_2_123" localSheetId="2">'일별 시세'!#REF!</definedName>
    <definedName name="_2_124" localSheetId="2">'일별 시세'!#REF!</definedName>
    <definedName name="_2_125" localSheetId="2">'일별 시세'!#REF!</definedName>
    <definedName name="_2_126" localSheetId="2">'일별 시세'!#REF!</definedName>
    <definedName name="_2_127" localSheetId="2">'일별 시세'!#REF!</definedName>
    <definedName name="_2_128" localSheetId="2">'일별 시세'!#REF!</definedName>
    <definedName name="_2_129" localSheetId="2">'일별 시세'!#REF!</definedName>
    <definedName name="_2_13" localSheetId="2">'일별 시세'!#REF!</definedName>
    <definedName name="_2_130" localSheetId="2">'일별 시세'!#REF!</definedName>
    <definedName name="_2_131" localSheetId="2">'일별 시세'!#REF!</definedName>
    <definedName name="_2_132" localSheetId="2">'일별 시세'!#REF!</definedName>
    <definedName name="_2_133" localSheetId="2">'일별 시세'!#REF!</definedName>
    <definedName name="_2_134" localSheetId="2">'일별 시세'!$H$2:$N$15</definedName>
    <definedName name="_2_14" localSheetId="2">'일별 시세'!#REF!</definedName>
    <definedName name="_2_15" localSheetId="2">'일별 시세'!#REF!</definedName>
    <definedName name="_2_16" localSheetId="2">'일별 시세'!#REF!</definedName>
    <definedName name="_2_17" localSheetId="2">'일별 시세'!#REF!</definedName>
    <definedName name="_2_18" localSheetId="2">'일별 시세'!#REF!</definedName>
    <definedName name="_2_19" localSheetId="2">'일별 시세'!#REF!</definedName>
    <definedName name="_2_2" localSheetId="2">'일별 시세'!#REF!</definedName>
    <definedName name="_2_20" localSheetId="2">'일별 시세'!#REF!</definedName>
    <definedName name="_2_21" localSheetId="2">'일별 시세'!#REF!</definedName>
    <definedName name="_2_22" localSheetId="2">'일별 시세'!#REF!</definedName>
    <definedName name="_2_23" localSheetId="2">'일별 시세'!#REF!</definedName>
    <definedName name="_2_24" localSheetId="2">'일별 시세'!#REF!</definedName>
    <definedName name="_2_25" localSheetId="2">'일별 시세'!#REF!</definedName>
    <definedName name="_2_26" localSheetId="2">'일별 시세'!#REF!</definedName>
    <definedName name="_2_27" localSheetId="2">'일별 시세'!#REF!</definedName>
    <definedName name="_2_28" localSheetId="2">'일별 시세'!#REF!</definedName>
    <definedName name="_2_29" localSheetId="2">'일별 시세'!#REF!</definedName>
    <definedName name="_2_3" localSheetId="2">'일별 시세'!#REF!</definedName>
    <definedName name="_2_30" localSheetId="2">'일별 시세'!#REF!</definedName>
    <definedName name="_2_31" localSheetId="2">'일별 시세'!#REF!</definedName>
    <definedName name="_2_32" localSheetId="2">'일별 시세'!#REF!</definedName>
    <definedName name="_2_33" localSheetId="2">'일별 시세'!#REF!</definedName>
    <definedName name="_2_34" localSheetId="2">'일별 시세'!#REF!</definedName>
    <definedName name="_2_35" localSheetId="2">'일별 시세'!#REF!</definedName>
    <definedName name="_2_36" localSheetId="2">'일별 시세'!#REF!</definedName>
    <definedName name="_2_37" localSheetId="2">'일별 시세'!#REF!</definedName>
    <definedName name="_2_38" localSheetId="2">'일별 시세'!#REF!</definedName>
    <definedName name="_2_39" localSheetId="2">'일별 시세'!#REF!</definedName>
    <definedName name="_2_4" localSheetId="2">'일별 시세'!#REF!</definedName>
    <definedName name="_2_40" localSheetId="2">'일별 시세'!#REF!</definedName>
    <definedName name="_2_41" localSheetId="2">'일별 시세'!#REF!</definedName>
    <definedName name="_2_42" localSheetId="2">'일별 시세'!#REF!</definedName>
    <definedName name="_2_43" localSheetId="2">'일별 시세'!#REF!</definedName>
    <definedName name="_2_44" localSheetId="2">'일별 시세'!#REF!</definedName>
    <definedName name="_2_45" localSheetId="2">'일별 시세'!#REF!</definedName>
    <definedName name="_2_46" localSheetId="2">'일별 시세'!#REF!</definedName>
    <definedName name="_2_47" localSheetId="2">'일별 시세'!#REF!</definedName>
    <definedName name="_2_48" localSheetId="2">'일별 시세'!#REF!</definedName>
    <definedName name="_2_49" localSheetId="2">'일별 시세'!#REF!</definedName>
    <definedName name="_2_5" localSheetId="2">'일별 시세'!#REF!</definedName>
    <definedName name="_2_50" localSheetId="2">'일별 시세'!#REF!</definedName>
    <definedName name="_2_51" localSheetId="2">'일별 시세'!#REF!</definedName>
    <definedName name="_2_52" localSheetId="2">'일별 시세'!#REF!</definedName>
    <definedName name="_2_53" localSheetId="2">'일별 시세'!#REF!</definedName>
    <definedName name="_2_54" localSheetId="2">'일별 시세'!#REF!</definedName>
    <definedName name="_2_55" localSheetId="2">'일별 시세'!#REF!</definedName>
    <definedName name="_2_56" localSheetId="2">'일별 시세'!#REF!</definedName>
    <definedName name="_2_57" localSheetId="2">'일별 시세'!#REF!</definedName>
    <definedName name="_2_58" localSheetId="2">'일별 시세'!#REF!</definedName>
    <definedName name="_2_59" localSheetId="2">'일별 시세'!#REF!</definedName>
    <definedName name="_2_6" localSheetId="2">'일별 시세'!#REF!</definedName>
    <definedName name="_2_60" localSheetId="2">'일별 시세'!#REF!</definedName>
    <definedName name="_2_61" localSheetId="2">'일별 시세'!#REF!</definedName>
    <definedName name="_2_62" localSheetId="2">'일별 시세'!#REF!</definedName>
    <definedName name="_2_63" localSheetId="2">'일별 시세'!#REF!</definedName>
    <definedName name="_2_64" localSheetId="2">'일별 시세'!#REF!</definedName>
    <definedName name="_2_65" localSheetId="2">'일별 시세'!#REF!</definedName>
    <definedName name="_2_66" localSheetId="2">'일별 시세'!#REF!</definedName>
    <definedName name="_2_67" localSheetId="2">'일별 시세'!#REF!</definedName>
    <definedName name="_2_68" localSheetId="2">'일별 시세'!#REF!</definedName>
    <definedName name="_2_69" localSheetId="2">'일별 시세'!#REF!</definedName>
    <definedName name="_2_7" localSheetId="2">'일별 시세'!#REF!</definedName>
    <definedName name="_2_70" localSheetId="2">'일별 시세'!#REF!</definedName>
    <definedName name="_2_71" localSheetId="2">'일별 시세'!#REF!</definedName>
    <definedName name="_2_72" localSheetId="2">'일별 시세'!#REF!</definedName>
    <definedName name="_2_73" localSheetId="2">'일별 시세'!#REF!</definedName>
    <definedName name="_2_74" localSheetId="2">'일별 시세'!#REF!</definedName>
    <definedName name="_2_75" localSheetId="2">'일별 시세'!#REF!</definedName>
    <definedName name="_2_76" localSheetId="2">'일별 시세'!#REF!</definedName>
    <definedName name="_2_77" localSheetId="2">'일별 시세'!#REF!</definedName>
    <definedName name="_2_78" localSheetId="2">'일별 시세'!#REF!</definedName>
    <definedName name="_2_79" localSheetId="2">'일별 시세'!#REF!</definedName>
    <definedName name="_2_8" localSheetId="2">'일별 시세'!#REF!</definedName>
    <definedName name="_2_80" localSheetId="2">'일별 시세'!#REF!</definedName>
    <definedName name="_2_81" localSheetId="2">'일별 시세'!#REF!</definedName>
    <definedName name="_2_82" localSheetId="2">'일별 시세'!#REF!</definedName>
    <definedName name="_2_83" localSheetId="2">'일별 시세'!#REF!</definedName>
    <definedName name="_2_84" localSheetId="2">'일별 시세'!#REF!</definedName>
    <definedName name="_2_85" localSheetId="2">'일별 시세'!#REF!</definedName>
    <definedName name="_2_86" localSheetId="2">'일별 시세'!#REF!</definedName>
    <definedName name="_2_87" localSheetId="2">'일별 시세'!#REF!</definedName>
    <definedName name="_2_88" localSheetId="2">'일별 시세'!#REF!</definedName>
    <definedName name="_2_89" localSheetId="2">'일별 시세'!#REF!</definedName>
    <definedName name="_2_9" localSheetId="2">'일별 시세'!#REF!</definedName>
    <definedName name="_2_90" localSheetId="2">'일별 시세'!#REF!</definedName>
    <definedName name="_2_91" localSheetId="2">'일별 시세'!#REF!</definedName>
    <definedName name="_2_92" localSheetId="2">'일별 시세'!#REF!</definedName>
    <definedName name="_2_93" localSheetId="2">'일별 시세'!#REF!</definedName>
    <definedName name="_2_94" localSheetId="2">'일별 시세'!#REF!</definedName>
    <definedName name="_2_95" localSheetId="2">'일별 시세'!#REF!</definedName>
    <definedName name="_2_96" localSheetId="2">'일별 시세'!#REF!</definedName>
    <definedName name="_2_97" localSheetId="2">'일별 시세'!#REF!</definedName>
    <definedName name="_2_98" localSheetId="2">'일별 시세'!#REF!</definedName>
    <definedName name="_2_99" localSheetId="2">'일별 시세'!#REF!</definedName>
    <definedName name="_3" localSheetId="2">'일별 시세'!#REF!</definedName>
    <definedName name="_3_1" localSheetId="2">'일별 시세'!#REF!</definedName>
    <definedName name="_3_10" localSheetId="2">'일별 시세'!#REF!</definedName>
    <definedName name="_3_100" localSheetId="2">'일별 시세'!#REF!</definedName>
    <definedName name="_3_101" localSheetId="2">'일별 시세'!#REF!</definedName>
    <definedName name="_3_102" localSheetId="2">'일별 시세'!#REF!</definedName>
    <definedName name="_3_103" localSheetId="2">'일별 시세'!#REF!</definedName>
    <definedName name="_3_104" localSheetId="2">'일별 시세'!#REF!</definedName>
    <definedName name="_3_105" localSheetId="2">'일별 시세'!#REF!</definedName>
    <definedName name="_3_106" localSheetId="2">'일별 시세'!#REF!</definedName>
    <definedName name="_3_107" localSheetId="2">'일별 시세'!#REF!</definedName>
    <definedName name="_3_108" localSheetId="2">'일별 시세'!#REF!</definedName>
    <definedName name="_3_109" localSheetId="2">'일별 시세'!#REF!</definedName>
    <definedName name="_3_11" localSheetId="2">'일별 시세'!#REF!</definedName>
    <definedName name="_3_110" localSheetId="2">'일별 시세'!#REF!</definedName>
    <definedName name="_3_111" localSheetId="2">'일별 시세'!#REF!</definedName>
    <definedName name="_3_112" localSheetId="2">'일별 시세'!#REF!</definedName>
    <definedName name="_3_113" localSheetId="2">'일별 시세'!#REF!</definedName>
    <definedName name="_3_114" localSheetId="2">'일별 시세'!#REF!</definedName>
    <definedName name="_3_115" localSheetId="2">'일별 시세'!#REF!</definedName>
    <definedName name="_3_116" localSheetId="2">'일별 시세'!#REF!</definedName>
    <definedName name="_3_117" localSheetId="2">'일별 시세'!#REF!</definedName>
    <definedName name="_3_118" localSheetId="2">'일별 시세'!#REF!</definedName>
    <definedName name="_3_119" localSheetId="2">'일별 시세'!#REF!</definedName>
    <definedName name="_3_12" localSheetId="2">'일별 시세'!#REF!</definedName>
    <definedName name="_3_120" localSheetId="2">'일별 시세'!#REF!</definedName>
    <definedName name="_3_121" localSheetId="2">'일별 시세'!#REF!</definedName>
    <definedName name="_3_122" localSheetId="2">'일별 시세'!#REF!</definedName>
    <definedName name="_3_123" localSheetId="2">'일별 시세'!#REF!</definedName>
    <definedName name="_3_124" localSheetId="2">'일별 시세'!#REF!</definedName>
    <definedName name="_3_125" localSheetId="2">'일별 시세'!#REF!</definedName>
    <definedName name="_3_126" localSheetId="2">'일별 시세'!#REF!</definedName>
    <definedName name="_3_127" localSheetId="2">'일별 시세'!#REF!</definedName>
    <definedName name="_3_128" localSheetId="2">'일별 시세'!#REF!</definedName>
    <definedName name="_3_129" localSheetId="2">'일별 시세'!#REF!</definedName>
    <definedName name="_3_13" localSheetId="2">'일별 시세'!#REF!</definedName>
    <definedName name="_3_130" localSheetId="2">'일별 시세'!#REF!</definedName>
    <definedName name="_3_131" localSheetId="2">'일별 시세'!#REF!</definedName>
    <definedName name="_3_132" localSheetId="2">'일별 시세'!#REF!</definedName>
    <definedName name="_3_133" localSheetId="2">'일별 시세'!#REF!</definedName>
    <definedName name="_3_134" localSheetId="2">'일별 시세'!$O$2:$U$15</definedName>
    <definedName name="_3_14" localSheetId="2">'일별 시세'!#REF!</definedName>
    <definedName name="_3_15" localSheetId="2">'일별 시세'!#REF!</definedName>
    <definedName name="_3_16" localSheetId="2">'일별 시세'!#REF!</definedName>
    <definedName name="_3_17" localSheetId="2">'일별 시세'!#REF!</definedName>
    <definedName name="_3_18" localSheetId="2">'일별 시세'!#REF!</definedName>
    <definedName name="_3_19" localSheetId="2">'일별 시세'!#REF!</definedName>
    <definedName name="_3_2" localSheetId="2">'일별 시세'!#REF!</definedName>
    <definedName name="_3_20" localSheetId="2">'일별 시세'!#REF!</definedName>
    <definedName name="_3_21" localSheetId="2">'일별 시세'!#REF!</definedName>
    <definedName name="_3_22" localSheetId="2">'일별 시세'!#REF!</definedName>
    <definedName name="_3_23" localSheetId="2">'일별 시세'!#REF!</definedName>
    <definedName name="_3_24" localSheetId="2">'일별 시세'!#REF!</definedName>
    <definedName name="_3_25" localSheetId="2">'일별 시세'!#REF!</definedName>
    <definedName name="_3_26" localSheetId="2">'일별 시세'!#REF!</definedName>
    <definedName name="_3_27" localSheetId="2">'일별 시세'!#REF!</definedName>
    <definedName name="_3_28" localSheetId="2">'일별 시세'!#REF!</definedName>
    <definedName name="_3_29" localSheetId="2">'일별 시세'!#REF!</definedName>
    <definedName name="_3_3" localSheetId="2">'일별 시세'!#REF!</definedName>
    <definedName name="_3_30" localSheetId="2">'일별 시세'!#REF!</definedName>
    <definedName name="_3_31" localSheetId="2">'일별 시세'!#REF!</definedName>
    <definedName name="_3_32" localSheetId="2">'일별 시세'!#REF!</definedName>
    <definedName name="_3_33" localSheetId="2">'일별 시세'!#REF!</definedName>
    <definedName name="_3_34" localSheetId="2">'일별 시세'!#REF!</definedName>
    <definedName name="_3_35" localSheetId="2">'일별 시세'!#REF!</definedName>
    <definedName name="_3_36" localSheetId="2">'일별 시세'!#REF!</definedName>
    <definedName name="_3_37" localSheetId="2">'일별 시세'!#REF!</definedName>
    <definedName name="_3_38" localSheetId="2">'일별 시세'!#REF!</definedName>
    <definedName name="_3_39" localSheetId="2">'일별 시세'!#REF!</definedName>
    <definedName name="_3_4" localSheetId="2">'일별 시세'!#REF!</definedName>
    <definedName name="_3_40" localSheetId="2">'일별 시세'!#REF!</definedName>
    <definedName name="_3_41" localSheetId="2">'일별 시세'!#REF!</definedName>
    <definedName name="_3_42" localSheetId="2">'일별 시세'!#REF!</definedName>
    <definedName name="_3_43" localSheetId="2">'일별 시세'!#REF!</definedName>
    <definedName name="_3_44" localSheetId="2">'일별 시세'!#REF!</definedName>
    <definedName name="_3_45" localSheetId="2">'일별 시세'!#REF!</definedName>
    <definedName name="_3_46" localSheetId="2">'일별 시세'!#REF!</definedName>
    <definedName name="_3_47" localSheetId="2">'일별 시세'!#REF!</definedName>
    <definedName name="_3_48" localSheetId="2">'일별 시세'!#REF!</definedName>
    <definedName name="_3_49" localSheetId="2">'일별 시세'!#REF!</definedName>
    <definedName name="_3_5" localSheetId="2">'일별 시세'!#REF!</definedName>
    <definedName name="_3_50" localSheetId="2">'일별 시세'!#REF!</definedName>
    <definedName name="_3_51" localSheetId="2">'일별 시세'!#REF!</definedName>
    <definedName name="_3_52" localSheetId="2">'일별 시세'!#REF!</definedName>
    <definedName name="_3_53" localSheetId="2">'일별 시세'!#REF!</definedName>
    <definedName name="_3_54" localSheetId="2">'일별 시세'!#REF!</definedName>
    <definedName name="_3_55" localSheetId="2">'일별 시세'!#REF!</definedName>
    <definedName name="_3_56" localSheetId="2">'일별 시세'!#REF!</definedName>
    <definedName name="_3_57" localSheetId="2">'일별 시세'!#REF!</definedName>
    <definedName name="_3_58" localSheetId="2">'일별 시세'!#REF!</definedName>
    <definedName name="_3_59" localSheetId="2">'일별 시세'!#REF!</definedName>
    <definedName name="_3_6" localSheetId="2">'일별 시세'!#REF!</definedName>
    <definedName name="_3_60" localSheetId="2">'일별 시세'!#REF!</definedName>
    <definedName name="_3_61" localSheetId="2">'일별 시세'!#REF!</definedName>
    <definedName name="_3_62" localSheetId="2">'일별 시세'!#REF!</definedName>
    <definedName name="_3_63" localSheetId="2">'일별 시세'!#REF!</definedName>
    <definedName name="_3_64" localSheetId="2">'일별 시세'!#REF!</definedName>
    <definedName name="_3_65" localSheetId="2">'일별 시세'!#REF!</definedName>
    <definedName name="_3_66" localSheetId="2">'일별 시세'!#REF!</definedName>
    <definedName name="_3_67" localSheetId="2">'일별 시세'!#REF!</definedName>
    <definedName name="_3_68" localSheetId="2">'일별 시세'!#REF!</definedName>
    <definedName name="_3_69" localSheetId="2">'일별 시세'!#REF!</definedName>
    <definedName name="_3_7" localSheetId="2">'일별 시세'!#REF!</definedName>
    <definedName name="_3_70" localSheetId="2">'일별 시세'!#REF!</definedName>
    <definedName name="_3_71" localSheetId="2">'일별 시세'!#REF!</definedName>
    <definedName name="_3_72" localSheetId="2">'일별 시세'!#REF!</definedName>
    <definedName name="_3_73" localSheetId="2">'일별 시세'!#REF!</definedName>
    <definedName name="_3_74" localSheetId="2">'일별 시세'!#REF!</definedName>
    <definedName name="_3_75" localSheetId="2">'일별 시세'!#REF!</definedName>
    <definedName name="_3_76" localSheetId="2">'일별 시세'!#REF!</definedName>
    <definedName name="_3_77" localSheetId="2">'일별 시세'!#REF!</definedName>
    <definedName name="_3_78" localSheetId="2">'일별 시세'!#REF!</definedName>
    <definedName name="_3_79" localSheetId="2">'일별 시세'!#REF!</definedName>
    <definedName name="_3_8" localSheetId="2">'일별 시세'!#REF!</definedName>
    <definedName name="_3_80" localSheetId="2">'일별 시세'!#REF!</definedName>
    <definedName name="_3_81" localSheetId="2">'일별 시세'!#REF!</definedName>
    <definedName name="_3_82" localSheetId="2">'일별 시세'!#REF!</definedName>
    <definedName name="_3_83" localSheetId="2">'일별 시세'!#REF!</definedName>
    <definedName name="_3_84" localSheetId="2">'일별 시세'!#REF!</definedName>
    <definedName name="_3_85" localSheetId="2">'일별 시세'!#REF!</definedName>
    <definedName name="_3_86" localSheetId="2">'일별 시세'!#REF!</definedName>
    <definedName name="_3_87" localSheetId="2">'일별 시세'!#REF!</definedName>
    <definedName name="_3_88" localSheetId="2">'일별 시세'!#REF!</definedName>
    <definedName name="_3_89" localSheetId="2">'일별 시세'!#REF!</definedName>
    <definedName name="_3_9" localSheetId="2">'일별 시세'!#REF!</definedName>
    <definedName name="_3_90" localSheetId="2">'일별 시세'!#REF!</definedName>
    <definedName name="_3_91" localSheetId="2">'일별 시세'!#REF!</definedName>
    <definedName name="_3_92" localSheetId="2">'일별 시세'!#REF!</definedName>
    <definedName name="_3_93" localSheetId="2">'일별 시세'!#REF!</definedName>
    <definedName name="_3_94" localSheetId="2">'일별 시세'!#REF!</definedName>
    <definedName name="_3_95" localSheetId="2">'일별 시세'!#REF!</definedName>
    <definedName name="_3_96" localSheetId="2">'일별 시세'!#REF!</definedName>
    <definedName name="_3_97" localSheetId="2">'일별 시세'!#REF!</definedName>
    <definedName name="_3_98" localSheetId="2">'일별 시세'!#REF!</definedName>
    <definedName name="_3_99" localSheetId="2">'일별 시세'!#REF!</definedName>
    <definedName name="_4" localSheetId="2">'일별 시세'!#REF!</definedName>
    <definedName name="_4_1" localSheetId="2">'일별 시세'!#REF!</definedName>
    <definedName name="_4_10" localSheetId="2">'일별 시세'!#REF!</definedName>
    <definedName name="_4_100" localSheetId="2">'일별 시세'!#REF!</definedName>
    <definedName name="_4_101" localSheetId="2">'일별 시세'!#REF!</definedName>
    <definedName name="_4_102" localSheetId="2">'일별 시세'!#REF!</definedName>
    <definedName name="_4_103" localSheetId="2">'일별 시세'!#REF!</definedName>
    <definedName name="_4_104" localSheetId="2">'일별 시세'!#REF!</definedName>
    <definedName name="_4_105" localSheetId="2">'일별 시세'!#REF!</definedName>
    <definedName name="_4_106" localSheetId="2">'일별 시세'!#REF!</definedName>
    <definedName name="_4_107" localSheetId="2">'일별 시세'!#REF!</definedName>
    <definedName name="_4_108" localSheetId="2">'일별 시세'!#REF!</definedName>
    <definedName name="_4_109" localSheetId="2">'일별 시세'!#REF!</definedName>
    <definedName name="_4_11" localSheetId="2">'일별 시세'!#REF!</definedName>
    <definedName name="_4_110" localSheetId="2">'일별 시세'!#REF!</definedName>
    <definedName name="_4_111" localSheetId="2">'일별 시세'!#REF!</definedName>
    <definedName name="_4_112" localSheetId="2">'일별 시세'!#REF!</definedName>
    <definedName name="_4_113" localSheetId="2">'일별 시세'!#REF!</definedName>
    <definedName name="_4_114" localSheetId="2">'일별 시세'!#REF!</definedName>
    <definedName name="_4_115" localSheetId="2">'일별 시세'!#REF!</definedName>
    <definedName name="_4_116" localSheetId="2">'일별 시세'!#REF!</definedName>
    <definedName name="_4_117" localSheetId="2">'일별 시세'!#REF!</definedName>
    <definedName name="_4_118" localSheetId="2">'일별 시세'!#REF!</definedName>
    <definedName name="_4_119" localSheetId="2">'일별 시세'!#REF!</definedName>
    <definedName name="_4_12" localSheetId="2">'일별 시세'!#REF!</definedName>
    <definedName name="_4_120" localSheetId="2">'일별 시세'!#REF!</definedName>
    <definedName name="_4_121" localSheetId="2">'일별 시세'!#REF!</definedName>
    <definedName name="_4_122" localSheetId="2">'일별 시세'!#REF!</definedName>
    <definedName name="_4_123" localSheetId="2">'일별 시세'!#REF!</definedName>
    <definedName name="_4_124" localSheetId="2">'일별 시세'!#REF!</definedName>
    <definedName name="_4_125" localSheetId="2">'일별 시세'!#REF!</definedName>
    <definedName name="_4_126" localSheetId="2">'일별 시세'!#REF!</definedName>
    <definedName name="_4_127" localSheetId="2">'일별 시세'!#REF!</definedName>
    <definedName name="_4_128" localSheetId="2">'일별 시세'!#REF!</definedName>
    <definedName name="_4_129" localSheetId="2">'일별 시세'!#REF!</definedName>
    <definedName name="_4_13" localSheetId="2">'일별 시세'!#REF!</definedName>
    <definedName name="_4_130" localSheetId="2">'일별 시세'!#REF!</definedName>
    <definedName name="_4_131" localSheetId="2">'일별 시세'!#REF!</definedName>
    <definedName name="_4_132" localSheetId="2">'일별 시세'!#REF!</definedName>
    <definedName name="_4_133" localSheetId="2">'일별 시세'!#REF!</definedName>
    <definedName name="_4_134" localSheetId="2">'일별 시세'!$V$2:$AB$15</definedName>
    <definedName name="_4_14" localSheetId="2">'일별 시세'!#REF!</definedName>
    <definedName name="_4_15" localSheetId="2">'일별 시세'!#REF!</definedName>
    <definedName name="_4_16" localSheetId="2">'일별 시세'!#REF!</definedName>
    <definedName name="_4_17" localSheetId="2">'일별 시세'!#REF!</definedName>
    <definedName name="_4_18" localSheetId="2">'일별 시세'!#REF!</definedName>
    <definedName name="_4_19" localSheetId="2">'일별 시세'!#REF!</definedName>
    <definedName name="_4_2" localSheetId="2">'일별 시세'!#REF!</definedName>
    <definedName name="_4_20" localSheetId="2">'일별 시세'!#REF!</definedName>
    <definedName name="_4_21" localSheetId="2">'일별 시세'!#REF!</definedName>
    <definedName name="_4_22" localSheetId="2">'일별 시세'!#REF!</definedName>
    <definedName name="_4_23" localSheetId="2">'일별 시세'!#REF!</definedName>
    <definedName name="_4_24" localSheetId="2">'일별 시세'!#REF!</definedName>
    <definedName name="_4_25" localSheetId="2">'일별 시세'!#REF!</definedName>
    <definedName name="_4_26" localSheetId="2">'일별 시세'!#REF!</definedName>
    <definedName name="_4_27" localSheetId="2">'일별 시세'!#REF!</definedName>
    <definedName name="_4_28" localSheetId="2">'일별 시세'!#REF!</definedName>
    <definedName name="_4_29" localSheetId="2">'일별 시세'!#REF!</definedName>
    <definedName name="_4_3" localSheetId="2">'일별 시세'!#REF!</definedName>
    <definedName name="_4_30" localSheetId="2">'일별 시세'!#REF!</definedName>
    <definedName name="_4_31" localSheetId="2">'일별 시세'!#REF!</definedName>
    <definedName name="_4_32" localSheetId="2">'일별 시세'!#REF!</definedName>
    <definedName name="_4_33" localSheetId="2">'일별 시세'!#REF!</definedName>
    <definedName name="_4_34" localSheetId="2">'일별 시세'!#REF!</definedName>
    <definedName name="_4_35" localSheetId="2">'일별 시세'!#REF!</definedName>
    <definedName name="_4_36" localSheetId="2">'일별 시세'!#REF!</definedName>
    <definedName name="_4_37" localSheetId="2">'일별 시세'!#REF!</definedName>
    <definedName name="_4_38" localSheetId="2">'일별 시세'!#REF!</definedName>
    <definedName name="_4_39" localSheetId="2">'일별 시세'!#REF!</definedName>
    <definedName name="_4_4" localSheetId="2">'일별 시세'!#REF!</definedName>
    <definedName name="_4_40" localSheetId="2">'일별 시세'!#REF!</definedName>
    <definedName name="_4_41" localSheetId="2">'일별 시세'!#REF!</definedName>
    <definedName name="_4_42" localSheetId="2">'일별 시세'!#REF!</definedName>
    <definedName name="_4_43" localSheetId="2">'일별 시세'!#REF!</definedName>
    <definedName name="_4_44" localSheetId="2">'일별 시세'!#REF!</definedName>
    <definedName name="_4_45" localSheetId="2">'일별 시세'!#REF!</definedName>
    <definedName name="_4_46" localSheetId="2">'일별 시세'!#REF!</definedName>
    <definedName name="_4_47" localSheetId="2">'일별 시세'!#REF!</definedName>
    <definedName name="_4_48" localSheetId="2">'일별 시세'!#REF!</definedName>
    <definedName name="_4_49" localSheetId="2">'일별 시세'!#REF!</definedName>
    <definedName name="_4_5" localSheetId="2">'일별 시세'!#REF!</definedName>
    <definedName name="_4_50" localSheetId="2">'일별 시세'!#REF!</definedName>
    <definedName name="_4_51" localSheetId="2">'일별 시세'!#REF!</definedName>
    <definedName name="_4_52" localSheetId="2">'일별 시세'!#REF!</definedName>
    <definedName name="_4_53" localSheetId="2">'일별 시세'!#REF!</definedName>
    <definedName name="_4_54" localSheetId="2">'일별 시세'!#REF!</definedName>
    <definedName name="_4_55" localSheetId="2">'일별 시세'!#REF!</definedName>
    <definedName name="_4_56" localSheetId="2">'일별 시세'!#REF!</definedName>
    <definedName name="_4_57" localSheetId="2">'일별 시세'!#REF!</definedName>
    <definedName name="_4_58" localSheetId="2">'일별 시세'!#REF!</definedName>
    <definedName name="_4_59" localSheetId="2">'일별 시세'!#REF!</definedName>
    <definedName name="_4_6" localSheetId="2">'일별 시세'!#REF!</definedName>
    <definedName name="_4_60" localSheetId="2">'일별 시세'!#REF!</definedName>
    <definedName name="_4_61" localSheetId="2">'일별 시세'!#REF!</definedName>
    <definedName name="_4_62" localSheetId="2">'일별 시세'!#REF!</definedName>
    <definedName name="_4_63" localSheetId="2">'일별 시세'!#REF!</definedName>
    <definedName name="_4_64" localSheetId="2">'일별 시세'!#REF!</definedName>
    <definedName name="_4_65" localSheetId="2">'일별 시세'!#REF!</definedName>
    <definedName name="_4_66" localSheetId="2">'일별 시세'!#REF!</definedName>
    <definedName name="_4_67" localSheetId="2">'일별 시세'!#REF!</definedName>
    <definedName name="_4_68" localSheetId="2">'일별 시세'!#REF!</definedName>
    <definedName name="_4_69" localSheetId="2">'일별 시세'!#REF!</definedName>
    <definedName name="_4_7" localSheetId="2">'일별 시세'!#REF!</definedName>
    <definedName name="_4_70" localSheetId="2">'일별 시세'!#REF!</definedName>
    <definedName name="_4_71" localSheetId="2">'일별 시세'!#REF!</definedName>
    <definedName name="_4_72" localSheetId="2">'일별 시세'!#REF!</definedName>
    <definedName name="_4_73" localSheetId="2">'일별 시세'!#REF!</definedName>
    <definedName name="_4_74" localSheetId="2">'일별 시세'!#REF!</definedName>
    <definedName name="_4_75" localSheetId="2">'일별 시세'!#REF!</definedName>
    <definedName name="_4_76" localSheetId="2">'일별 시세'!#REF!</definedName>
    <definedName name="_4_77" localSheetId="2">'일별 시세'!#REF!</definedName>
    <definedName name="_4_78" localSheetId="2">'일별 시세'!#REF!</definedName>
    <definedName name="_4_79" localSheetId="2">'일별 시세'!#REF!</definedName>
    <definedName name="_4_8" localSheetId="2">'일별 시세'!#REF!</definedName>
    <definedName name="_4_80" localSheetId="2">'일별 시세'!#REF!</definedName>
    <definedName name="_4_81" localSheetId="2">'일별 시세'!#REF!</definedName>
    <definedName name="_4_82" localSheetId="2">'일별 시세'!#REF!</definedName>
    <definedName name="_4_83" localSheetId="2">'일별 시세'!#REF!</definedName>
    <definedName name="_4_84" localSheetId="2">'일별 시세'!#REF!</definedName>
    <definedName name="_4_85" localSheetId="2">'일별 시세'!#REF!</definedName>
    <definedName name="_4_86" localSheetId="2">'일별 시세'!#REF!</definedName>
    <definedName name="_4_87" localSheetId="2">'일별 시세'!#REF!</definedName>
    <definedName name="_4_88" localSheetId="2">'일별 시세'!#REF!</definedName>
    <definedName name="_4_89" localSheetId="2">'일별 시세'!#REF!</definedName>
    <definedName name="_4_9" localSheetId="2">'일별 시세'!#REF!</definedName>
    <definedName name="_4_90" localSheetId="2">'일별 시세'!#REF!</definedName>
    <definedName name="_4_91" localSheetId="2">'일별 시세'!#REF!</definedName>
    <definedName name="_4_92" localSheetId="2">'일별 시세'!#REF!</definedName>
    <definedName name="_4_93" localSheetId="2">'일별 시세'!#REF!</definedName>
    <definedName name="_4_94" localSheetId="2">'일별 시세'!#REF!</definedName>
    <definedName name="_4_95" localSheetId="2">'일별 시세'!#REF!</definedName>
    <definedName name="_4_96" localSheetId="2">'일별 시세'!#REF!</definedName>
    <definedName name="_4_97" localSheetId="2">'일별 시세'!#REF!</definedName>
    <definedName name="_4_98" localSheetId="2">'일별 시세'!#REF!</definedName>
    <definedName name="_4_99" localSheetId="2">'일별 시세'!#REF!</definedName>
    <definedName name="_5" localSheetId="2">'일별 시세'!#REF!</definedName>
    <definedName name="_5_1" localSheetId="2">'일별 시세'!#REF!</definedName>
    <definedName name="_5_10" localSheetId="2">'일별 시세'!#REF!</definedName>
    <definedName name="_5_100" localSheetId="2">'일별 시세'!#REF!</definedName>
    <definedName name="_5_101" localSheetId="2">'일별 시세'!#REF!</definedName>
    <definedName name="_5_102" localSheetId="2">'일별 시세'!#REF!</definedName>
    <definedName name="_5_103" localSheetId="2">'일별 시세'!#REF!</definedName>
    <definedName name="_5_104" localSheetId="2">'일별 시세'!#REF!</definedName>
    <definedName name="_5_105" localSheetId="2">'일별 시세'!#REF!</definedName>
    <definedName name="_5_106" localSheetId="2">'일별 시세'!#REF!</definedName>
    <definedName name="_5_107" localSheetId="2">'일별 시세'!#REF!</definedName>
    <definedName name="_5_108" localSheetId="2">'일별 시세'!#REF!</definedName>
    <definedName name="_5_109" localSheetId="2">'일별 시세'!#REF!</definedName>
    <definedName name="_5_11" localSheetId="2">'일별 시세'!#REF!</definedName>
    <definedName name="_5_110" localSheetId="2">'일별 시세'!#REF!</definedName>
    <definedName name="_5_111" localSheetId="2">'일별 시세'!#REF!</definedName>
    <definedName name="_5_112" localSheetId="2">'일별 시세'!#REF!</definedName>
    <definedName name="_5_113" localSheetId="2">'일별 시세'!#REF!</definedName>
    <definedName name="_5_114" localSheetId="2">'일별 시세'!#REF!</definedName>
    <definedName name="_5_115" localSheetId="2">'일별 시세'!#REF!</definedName>
    <definedName name="_5_116" localSheetId="2">'일별 시세'!#REF!</definedName>
    <definedName name="_5_117" localSheetId="2">'일별 시세'!#REF!</definedName>
    <definedName name="_5_118" localSheetId="2">'일별 시세'!#REF!</definedName>
    <definedName name="_5_119" localSheetId="2">'일별 시세'!#REF!</definedName>
    <definedName name="_5_12" localSheetId="2">'일별 시세'!#REF!</definedName>
    <definedName name="_5_120" localSheetId="2">'일별 시세'!#REF!</definedName>
    <definedName name="_5_121" localSheetId="2">'일별 시세'!#REF!</definedName>
    <definedName name="_5_122" localSheetId="2">'일별 시세'!#REF!</definedName>
    <definedName name="_5_123" localSheetId="2">'일별 시세'!#REF!</definedName>
    <definedName name="_5_124" localSheetId="2">'일별 시세'!#REF!</definedName>
    <definedName name="_5_125" localSheetId="2">'일별 시세'!#REF!</definedName>
    <definedName name="_5_126" localSheetId="2">'일별 시세'!#REF!</definedName>
    <definedName name="_5_127" localSheetId="2">'일별 시세'!#REF!</definedName>
    <definedName name="_5_128" localSheetId="2">'일별 시세'!#REF!</definedName>
    <definedName name="_5_129" localSheetId="2">'일별 시세'!#REF!</definedName>
    <definedName name="_5_13" localSheetId="2">'일별 시세'!#REF!</definedName>
    <definedName name="_5_130" localSheetId="2">'일별 시세'!#REF!</definedName>
    <definedName name="_5_131" localSheetId="2">'일별 시세'!#REF!</definedName>
    <definedName name="_5_132" localSheetId="2">'일별 시세'!#REF!</definedName>
    <definedName name="_5_133" localSheetId="2">'일별 시세'!#REF!</definedName>
    <definedName name="_5_134" localSheetId="2">'일별 시세'!$AC$2:$AI$15</definedName>
    <definedName name="_5_14" localSheetId="2">'일별 시세'!#REF!</definedName>
    <definedName name="_5_15" localSheetId="2">'일별 시세'!#REF!</definedName>
    <definedName name="_5_16" localSheetId="2">'일별 시세'!#REF!</definedName>
    <definedName name="_5_17" localSheetId="2">'일별 시세'!#REF!</definedName>
    <definedName name="_5_18" localSheetId="2">'일별 시세'!#REF!</definedName>
    <definedName name="_5_19" localSheetId="2">'일별 시세'!#REF!</definedName>
    <definedName name="_5_2" localSheetId="2">'일별 시세'!#REF!</definedName>
    <definedName name="_5_20" localSheetId="2">'일별 시세'!#REF!</definedName>
    <definedName name="_5_21" localSheetId="2">'일별 시세'!#REF!</definedName>
    <definedName name="_5_22" localSheetId="2">'일별 시세'!#REF!</definedName>
    <definedName name="_5_23" localSheetId="2">'일별 시세'!#REF!</definedName>
    <definedName name="_5_24" localSheetId="2">'일별 시세'!#REF!</definedName>
    <definedName name="_5_25" localSheetId="2">'일별 시세'!#REF!</definedName>
    <definedName name="_5_26" localSheetId="2">'일별 시세'!#REF!</definedName>
    <definedName name="_5_27" localSheetId="2">'일별 시세'!#REF!</definedName>
    <definedName name="_5_28" localSheetId="2">'일별 시세'!#REF!</definedName>
    <definedName name="_5_29" localSheetId="2">'일별 시세'!#REF!</definedName>
    <definedName name="_5_3" localSheetId="2">'일별 시세'!#REF!</definedName>
    <definedName name="_5_30" localSheetId="2">'일별 시세'!#REF!</definedName>
    <definedName name="_5_31" localSheetId="2">'일별 시세'!#REF!</definedName>
    <definedName name="_5_32" localSheetId="2">'일별 시세'!#REF!</definedName>
    <definedName name="_5_33" localSheetId="2">'일별 시세'!#REF!</definedName>
    <definedName name="_5_34" localSheetId="2">'일별 시세'!#REF!</definedName>
    <definedName name="_5_35" localSheetId="2">'일별 시세'!#REF!</definedName>
    <definedName name="_5_36" localSheetId="2">'일별 시세'!#REF!</definedName>
    <definedName name="_5_37" localSheetId="2">'일별 시세'!#REF!</definedName>
    <definedName name="_5_38" localSheetId="2">'일별 시세'!#REF!</definedName>
    <definedName name="_5_39" localSheetId="2">'일별 시세'!#REF!</definedName>
    <definedName name="_5_4" localSheetId="2">'일별 시세'!#REF!</definedName>
    <definedName name="_5_40" localSheetId="2">'일별 시세'!#REF!</definedName>
    <definedName name="_5_41" localSheetId="2">'일별 시세'!#REF!</definedName>
    <definedName name="_5_42" localSheetId="2">'일별 시세'!#REF!</definedName>
    <definedName name="_5_43" localSheetId="2">'일별 시세'!#REF!</definedName>
    <definedName name="_5_44" localSheetId="2">'일별 시세'!#REF!</definedName>
    <definedName name="_5_45" localSheetId="2">'일별 시세'!#REF!</definedName>
    <definedName name="_5_46" localSheetId="2">'일별 시세'!#REF!</definedName>
    <definedName name="_5_47" localSheetId="2">'일별 시세'!#REF!</definedName>
    <definedName name="_5_48" localSheetId="2">'일별 시세'!#REF!</definedName>
    <definedName name="_5_49" localSheetId="2">'일별 시세'!#REF!</definedName>
    <definedName name="_5_5" localSheetId="2">'일별 시세'!#REF!</definedName>
    <definedName name="_5_50" localSheetId="2">'일별 시세'!#REF!</definedName>
    <definedName name="_5_51" localSheetId="2">'일별 시세'!#REF!</definedName>
    <definedName name="_5_52" localSheetId="2">'일별 시세'!#REF!</definedName>
    <definedName name="_5_53" localSheetId="2">'일별 시세'!#REF!</definedName>
    <definedName name="_5_54" localSheetId="2">'일별 시세'!#REF!</definedName>
    <definedName name="_5_55" localSheetId="2">'일별 시세'!#REF!</definedName>
    <definedName name="_5_56" localSheetId="2">'일별 시세'!#REF!</definedName>
    <definedName name="_5_57" localSheetId="2">'일별 시세'!#REF!</definedName>
    <definedName name="_5_58" localSheetId="2">'일별 시세'!#REF!</definedName>
    <definedName name="_5_59" localSheetId="2">'일별 시세'!#REF!</definedName>
    <definedName name="_5_6" localSheetId="2">'일별 시세'!#REF!</definedName>
    <definedName name="_5_60" localSheetId="2">'일별 시세'!#REF!</definedName>
    <definedName name="_5_61" localSheetId="2">'일별 시세'!#REF!</definedName>
    <definedName name="_5_62" localSheetId="2">'일별 시세'!#REF!</definedName>
    <definedName name="_5_63" localSheetId="2">'일별 시세'!#REF!</definedName>
    <definedName name="_5_64" localSheetId="2">'일별 시세'!#REF!</definedName>
    <definedName name="_5_65" localSheetId="2">'일별 시세'!#REF!</definedName>
    <definedName name="_5_66" localSheetId="2">'일별 시세'!#REF!</definedName>
    <definedName name="_5_67" localSheetId="2">'일별 시세'!#REF!</definedName>
    <definedName name="_5_68" localSheetId="2">'일별 시세'!#REF!</definedName>
    <definedName name="_5_69" localSheetId="2">'일별 시세'!#REF!</definedName>
    <definedName name="_5_7" localSheetId="2">'일별 시세'!#REF!</definedName>
    <definedName name="_5_70" localSheetId="2">'일별 시세'!#REF!</definedName>
    <definedName name="_5_71" localSheetId="2">'일별 시세'!#REF!</definedName>
    <definedName name="_5_72" localSheetId="2">'일별 시세'!#REF!</definedName>
    <definedName name="_5_73" localSheetId="2">'일별 시세'!#REF!</definedName>
    <definedName name="_5_74" localSheetId="2">'일별 시세'!#REF!</definedName>
    <definedName name="_5_75" localSheetId="2">'일별 시세'!#REF!</definedName>
    <definedName name="_5_76" localSheetId="2">'일별 시세'!#REF!</definedName>
    <definedName name="_5_77" localSheetId="2">'일별 시세'!#REF!</definedName>
    <definedName name="_5_78" localSheetId="2">'일별 시세'!#REF!</definedName>
    <definedName name="_5_79" localSheetId="2">'일별 시세'!#REF!</definedName>
    <definedName name="_5_8" localSheetId="2">'일별 시세'!#REF!</definedName>
    <definedName name="_5_80" localSheetId="2">'일별 시세'!#REF!</definedName>
    <definedName name="_5_81" localSheetId="2">'일별 시세'!#REF!</definedName>
    <definedName name="_5_82" localSheetId="2">'일별 시세'!#REF!</definedName>
    <definedName name="_5_83" localSheetId="2">'일별 시세'!#REF!</definedName>
    <definedName name="_5_84" localSheetId="2">'일별 시세'!#REF!</definedName>
    <definedName name="_5_85" localSheetId="2">'일별 시세'!#REF!</definedName>
    <definedName name="_5_86" localSheetId="2">'일별 시세'!#REF!</definedName>
    <definedName name="_5_87" localSheetId="2">'일별 시세'!#REF!</definedName>
    <definedName name="_5_88" localSheetId="2">'일별 시세'!#REF!</definedName>
    <definedName name="_5_89" localSheetId="2">'일별 시세'!#REF!</definedName>
    <definedName name="_5_9" localSheetId="2">'일별 시세'!#REF!</definedName>
    <definedName name="_5_90" localSheetId="2">'일별 시세'!#REF!</definedName>
    <definedName name="_5_91" localSheetId="2">'일별 시세'!#REF!</definedName>
    <definedName name="_5_92" localSheetId="2">'일별 시세'!#REF!</definedName>
    <definedName name="_5_93" localSheetId="2">'일별 시세'!#REF!</definedName>
    <definedName name="_5_94" localSheetId="2">'일별 시세'!#REF!</definedName>
    <definedName name="_5_95" localSheetId="2">'일별 시세'!#REF!</definedName>
    <definedName name="_5_96" localSheetId="2">'일별 시세'!#REF!</definedName>
    <definedName name="_5_97" localSheetId="2">'일별 시세'!#REF!</definedName>
    <definedName name="_5_98" localSheetId="2">'일별 시세'!#REF!</definedName>
    <definedName name="_5_99" localSheetId="2">'일별 시세'!#REF!</definedName>
    <definedName name="_6" localSheetId="2">'일별 시세'!#REF!</definedName>
    <definedName name="_6_1" localSheetId="2">'일별 시세'!#REF!</definedName>
    <definedName name="_6_10" localSheetId="2">'일별 시세'!#REF!</definedName>
    <definedName name="_6_100" localSheetId="2">'일별 시세'!#REF!</definedName>
    <definedName name="_6_101" localSheetId="2">'일별 시세'!#REF!</definedName>
    <definedName name="_6_102" localSheetId="2">'일별 시세'!#REF!</definedName>
    <definedName name="_6_103" localSheetId="2">'일별 시세'!#REF!</definedName>
    <definedName name="_6_104" localSheetId="2">'일별 시세'!#REF!</definedName>
    <definedName name="_6_105" localSheetId="2">'일별 시세'!#REF!</definedName>
    <definedName name="_6_106" localSheetId="2">'일별 시세'!#REF!</definedName>
    <definedName name="_6_107" localSheetId="2">'일별 시세'!#REF!</definedName>
    <definedName name="_6_108" localSheetId="2">'일별 시세'!#REF!</definedName>
    <definedName name="_6_109" localSheetId="2">'일별 시세'!#REF!</definedName>
    <definedName name="_6_11" localSheetId="2">'일별 시세'!#REF!</definedName>
    <definedName name="_6_110" localSheetId="2">'일별 시세'!#REF!</definedName>
    <definedName name="_6_111" localSheetId="2">'일별 시세'!#REF!</definedName>
    <definedName name="_6_112" localSheetId="2">'일별 시세'!#REF!</definedName>
    <definedName name="_6_113" localSheetId="2">'일별 시세'!#REF!</definedName>
    <definedName name="_6_114" localSheetId="2">'일별 시세'!#REF!</definedName>
    <definedName name="_6_115" localSheetId="2">'일별 시세'!#REF!</definedName>
    <definedName name="_6_116" localSheetId="2">'일별 시세'!#REF!</definedName>
    <definedName name="_6_117" localSheetId="2">'일별 시세'!#REF!</definedName>
    <definedName name="_6_118" localSheetId="2">'일별 시세'!#REF!</definedName>
    <definedName name="_6_119" localSheetId="2">'일별 시세'!#REF!</definedName>
    <definedName name="_6_12" localSheetId="2">'일별 시세'!#REF!</definedName>
    <definedName name="_6_120" localSheetId="2">'일별 시세'!#REF!</definedName>
    <definedName name="_6_121" localSheetId="2">'일별 시세'!#REF!</definedName>
    <definedName name="_6_122" localSheetId="2">'일별 시세'!#REF!</definedName>
    <definedName name="_6_123" localSheetId="2">'일별 시세'!#REF!</definedName>
    <definedName name="_6_124" localSheetId="2">'일별 시세'!#REF!</definedName>
    <definedName name="_6_125" localSheetId="2">'일별 시세'!#REF!</definedName>
    <definedName name="_6_126" localSheetId="2">'일별 시세'!#REF!</definedName>
    <definedName name="_6_127" localSheetId="2">'일별 시세'!#REF!</definedName>
    <definedName name="_6_128" localSheetId="2">'일별 시세'!#REF!</definedName>
    <definedName name="_6_129" localSheetId="2">'일별 시세'!#REF!</definedName>
    <definedName name="_6_13" localSheetId="2">'일별 시세'!#REF!</definedName>
    <definedName name="_6_130" localSheetId="2">'일별 시세'!#REF!</definedName>
    <definedName name="_6_131" localSheetId="2">'일별 시세'!#REF!</definedName>
    <definedName name="_6_132" localSheetId="2">'일별 시세'!#REF!</definedName>
    <definedName name="_6_133" localSheetId="2">'일별 시세'!#REF!</definedName>
    <definedName name="_6_134" localSheetId="2">'일별 시세'!$AJ$2:$AP$15</definedName>
    <definedName name="_6_14" localSheetId="2">'일별 시세'!#REF!</definedName>
    <definedName name="_6_15" localSheetId="2">'일별 시세'!#REF!</definedName>
    <definedName name="_6_16" localSheetId="2">'일별 시세'!#REF!</definedName>
    <definedName name="_6_17" localSheetId="2">'일별 시세'!#REF!</definedName>
    <definedName name="_6_18" localSheetId="2">'일별 시세'!#REF!</definedName>
    <definedName name="_6_19" localSheetId="2">'일별 시세'!#REF!</definedName>
    <definedName name="_6_2" localSheetId="2">'일별 시세'!#REF!</definedName>
    <definedName name="_6_20" localSheetId="2">'일별 시세'!#REF!</definedName>
    <definedName name="_6_21" localSheetId="2">'일별 시세'!#REF!</definedName>
    <definedName name="_6_22" localSheetId="2">'일별 시세'!#REF!</definedName>
    <definedName name="_6_23" localSheetId="2">'일별 시세'!#REF!</definedName>
    <definedName name="_6_24" localSheetId="2">'일별 시세'!#REF!</definedName>
    <definedName name="_6_25" localSheetId="2">'일별 시세'!#REF!</definedName>
    <definedName name="_6_26" localSheetId="2">'일별 시세'!#REF!</definedName>
    <definedName name="_6_27" localSheetId="2">'일별 시세'!#REF!</definedName>
    <definedName name="_6_28" localSheetId="2">'일별 시세'!#REF!</definedName>
    <definedName name="_6_29" localSheetId="2">'일별 시세'!#REF!</definedName>
    <definedName name="_6_3" localSheetId="2">'일별 시세'!#REF!</definedName>
    <definedName name="_6_30" localSheetId="2">'일별 시세'!#REF!</definedName>
    <definedName name="_6_31" localSheetId="2">'일별 시세'!#REF!</definedName>
    <definedName name="_6_32" localSheetId="2">'일별 시세'!#REF!</definedName>
    <definedName name="_6_33" localSheetId="2">'일별 시세'!#REF!</definedName>
    <definedName name="_6_34" localSheetId="2">'일별 시세'!#REF!</definedName>
    <definedName name="_6_35" localSheetId="2">'일별 시세'!#REF!</definedName>
    <definedName name="_6_36" localSheetId="2">'일별 시세'!#REF!</definedName>
    <definedName name="_6_37" localSheetId="2">'일별 시세'!#REF!</definedName>
    <definedName name="_6_38" localSheetId="2">'일별 시세'!#REF!</definedName>
    <definedName name="_6_39" localSheetId="2">'일별 시세'!#REF!</definedName>
    <definedName name="_6_4" localSheetId="2">'일별 시세'!#REF!</definedName>
    <definedName name="_6_40" localSheetId="2">'일별 시세'!#REF!</definedName>
    <definedName name="_6_41" localSheetId="2">'일별 시세'!#REF!</definedName>
    <definedName name="_6_42" localSheetId="2">'일별 시세'!#REF!</definedName>
    <definedName name="_6_43" localSheetId="2">'일별 시세'!#REF!</definedName>
    <definedName name="_6_44" localSheetId="2">'일별 시세'!#REF!</definedName>
    <definedName name="_6_45" localSheetId="2">'일별 시세'!#REF!</definedName>
    <definedName name="_6_46" localSheetId="2">'일별 시세'!#REF!</definedName>
    <definedName name="_6_47" localSheetId="2">'일별 시세'!#REF!</definedName>
    <definedName name="_6_48" localSheetId="2">'일별 시세'!#REF!</definedName>
    <definedName name="_6_49" localSheetId="2">'일별 시세'!#REF!</definedName>
    <definedName name="_6_5" localSheetId="2">'일별 시세'!#REF!</definedName>
    <definedName name="_6_50" localSheetId="2">'일별 시세'!#REF!</definedName>
    <definedName name="_6_51" localSheetId="2">'일별 시세'!#REF!</definedName>
    <definedName name="_6_52" localSheetId="2">'일별 시세'!#REF!</definedName>
    <definedName name="_6_53" localSheetId="2">'일별 시세'!#REF!</definedName>
    <definedName name="_6_54" localSheetId="2">'일별 시세'!#REF!</definedName>
    <definedName name="_6_55" localSheetId="2">'일별 시세'!#REF!</definedName>
    <definedName name="_6_56" localSheetId="2">'일별 시세'!#REF!</definedName>
    <definedName name="_6_57" localSheetId="2">'일별 시세'!#REF!</definedName>
    <definedName name="_6_58" localSheetId="2">'일별 시세'!#REF!</definedName>
    <definedName name="_6_59" localSheetId="2">'일별 시세'!#REF!</definedName>
    <definedName name="_6_6" localSheetId="2">'일별 시세'!#REF!</definedName>
    <definedName name="_6_60" localSheetId="2">'일별 시세'!#REF!</definedName>
    <definedName name="_6_61" localSheetId="2">'일별 시세'!#REF!</definedName>
    <definedName name="_6_62" localSheetId="2">'일별 시세'!#REF!</definedName>
    <definedName name="_6_63" localSheetId="2">'일별 시세'!#REF!</definedName>
    <definedName name="_6_64" localSheetId="2">'일별 시세'!#REF!</definedName>
    <definedName name="_6_65" localSheetId="2">'일별 시세'!#REF!</definedName>
    <definedName name="_6_66" localSheetId="2">'일별 시세'!#REF!</definedName>
    <definedName name="_6_67" localSheetId="2">'일별 시세'!#REF!</definedName>
    <definedName name="_6_68" localSheetId="2">'일별 시세'!#REF!</definedName>
    <definedName name="_6_69" localSheetId="2">'일별 시세'!#REF!</definedName>
    <definedName name="_6_7" localSheetId="2">'일별 시세'!#REF!</definedName>
    <definedName name="_6_70" localSheetId="2">'일별 시세'!#REF!</definedName>
    <definedName name="_6_71" localSheetId="2">'일별 시세'!#REF!</definedName>
    <definedName name="_6_72" localSheetId="2">'일별 시세'!#REF!</definedName>
    <definedName name="_6_73" localSheetId="2">'일별 시세'!#REF!</definedName>
    <definedName name="_6_74" localSheetId="2">'일별 시세'!#REF!</definedName>
    <definedName name="_6_75" localSheetId="2">'일별 시세'!#REF!</definedName>
    <definedName name="_6_76" localSheetId="2">'일별 시세'!#REF!</definedName>
    <definedName name="_6_77" localSheetId="2">'일별 시세'!#REF!</definedName>
    <definedName name="_6_78" localSheetId="2">'일별 시세'!#REF!</definedName>
    <definedName name="_6_79" localSheetId="2">'일별 시세'!#REF!</definedName>
    <definedName name="_6_8" localSheetId="2">'일별 시세'!#REF!</definedName>
    <definedName name="_6_80" localSheetId="2">'일별 시세'!#REF!</definedName>
    <definedName name="_6_81" localSheetId="2">'일별 시세'!#REF!</definedName>
    <definedName name="_6_82" localSheetId="2">'일별 시세'!#REF!</definedName>
    <definedName name="_6_83" localSheetId="2">'일별 시세'!#REF!</definedName>
    <definedName name="_6_84" localSheetId="2">'일별 시세'!#REF!</definedName>
    <definedName name="_6_85" localSheetId="2">'일별 시세'!#REF!</definedName>
    <definedName name="_6_86" localSheetId="2">'일별 시세'!#REF!</definedName>
    <definedName name="_6_87" localSheetId="2">'일별 시세'!#REF!</definedName>
    <definedName name="_6_88" localSheetId="2">'일별 시세'!#REF!</definedName>
    <definedName name="_6_89" localSheetId="2">'일별 시세'!#REF!</definedName>
    <definedName name="_6_9" localSheetId="2">'일별 시세'!#REF!</definedName>
    <definedName name="_6_90" localSheetId="2">'일별 시세'!#REF!</definedName>
    <definedName name="_6_91" localSheetId="2">'일별 시세'!#REF!</definedName>
    <definedName name="_6_92" localSheetId="2">'일별 시세'!#REF!</definedName>
    <definedName name="_6_93" localSheetId="2">'일별 시세'!#REF!</definedName>
    <definedName name="_6_94" localSheetId="2">'일별 시세'!#REF!</definedName>
    <definedName name="_6_95" localSheetId="2">'일별 시세'!#REF!</definedName>
    <definedName name="_6_96" localSheetId="2">'일별 시세'!#REF!</definedName>
    <definedName name="_6_97" localSheetId="2">'일별 시세'!#REF!</definedName>
    <definedName name="_6_98" localSheetId="2">'일별 시세'!#REF!</definedName>
    <definedName name="_6_99" localSheetId="2">'일별 시세'!#REF!</definedName>
    <definedName name="_7" localSheetId="2">'일별 시세'!#REF!</definedName>
    <definedName name="_7_1" localSheetId="2">'일별 시세'!#REF!</definedName>
    <definedName name="_7_10" localSheetId="2">'일별 시세'!#REF!</definedName>
    <definedName name="_7_100" localSheetId="2">'일별 시세'!#REF!</definedName>
    <definedName name="_7_101" localSheetId="2">'일별 시세'!#REF!</definedName>
    <definedName name="_7_102" localSheetId="2">'일별 시세'!#REF!</definedName>
    <definedName name="_7_103" localSheetId="2">'일별 시세'!#REF!</definedName>
    <definedName name="_7_104" localSheetId="2">'일별 시세'!#REF!</definedName>
    <definedName name="_7_105" localSheetId="2">'일별 시세'!#REF!</definedName>
    <definedName name="_7_106" localSheetId="2">'일별 시세'!#REF!</definedName>
    <definedName name="_7_107" localSheetId="2">'일별 시세'!#REF!</definedName>
    <definedName name="_7_108" localSheetId="2">'일별 시세'!#REF!</definedName>
    <definedName name="_7_109" localSheetId="2">'일별 시세'!#REF!</definedName>
    <definedName name="_7_11" localSheetId="2">'일별 시세'!#REF!</definedName>
    <definedName name="_7_110" localSheetId="2">'일별 시세'!#REF!</definedName>
    <definedName name="_7_111" localSheetId="2">'일별 시세'!#REF!</definedName>
    <definedName name="_7_112" localSheetId="2">'일별 시세'!#REF!</definedName>
    <definedName name="_7_113" localSheetId="2">'일별 시세'!#REF!</definedName>
    <definedName name="_7_114" localSheetId="2">'일별 시세'!#REF!</definedName>
    <definedName name="_7_115" localSheetId="2">'일별 시세'!#REF!</definedName>
    <definedName name="_7_116" localSheetId="2">'일별 시세'!#REF!</definedName>
    <definedName name="_7_117" localSheetId="2">'일별 시세'!#REF!</definedName>
    <definedName name="_7_118" localSheetId="2">'일별 시세'!#REF!</definedName>
    <definedName name="_7_119" localSheetId="2">'일별 시세'!#REF!</definedName>
    <definedName name="_7_12" localSheetId="2">'일별 시세'!#REF!</definedName>
    <definedName name="_7_120" localSheetId="2">'일별 시세'!#REF!</definedName>
    <definedName name="_7_121" localSheetId="2">'일별 시세'!#REF!</definedName>
    <definedName name="_7_122" localSheetId="2">'일별 시세'!#REF!</definedName>
    <definedName name="_7_123" localSheetId="2">'일별 시세'!#REF!</definedName>
    <definedName name="_7_124" localSheetId="2">'일별 시세'!#REF!</definedName>
    <definedName name="_7_125" localSheetId="2">'일별 시세'!#REF!</definedName>
    <definedName name="_7_126" localSheetId="2">'일별 시세'!#REF!</definedName>
    <definedName name="_7_127" localSheetId="2">'일별 시세'!#REF!</definedName>
    <definedName name="_7_128" localSheetId="2">'일별 시세'!#REF!</definedName>
    <definedName name="_7_129" localSheetId="2">'일별 시세'!#REF!</definedName>
    <definedName name="_7_13" localSheetId="2">'일별 시세'!#REF!</definedName>
    <definedName name="_7_130" localSheetId="2">'일별 시세'!#REF!</definedName>
    <definedName name="_7_131" localSheetId="2">'일별 시세'!#REF!</definedName>
    <definedName name="_7_132" localSheetId="2">'일별 시세'!#REF!</definedName>
    <definedName name="_7_133" localSheetId="2">'일별 시세'!#REF!</definedName>
    <definedName name="_7_134" localSheetId="2">'일별 시세'!$AQ$2:$AW$15</definedName>
    <definedName name="_7_14" localSheetId="2">'일별 시세'!#REF!</definedName>
    <definedName name="_7_15" localSheetId="2">'일별 시세'!#REF!</definedName>
    <definedName name="_7_16" localSheetId="2">'일별 시세'!#REF!</definedName>
    <definedName name="_7_17" localSheetId="2">'일별 시세'!#REF!</definedName>
    <definedName name="_7_18" localSheetId="2">'일별 시세'!#REF!</definedName>
    <definedName name="_7_19" localSheetId="2">'일별 시세'!#REF!</definedName>
    <definedName name="_7_2" localSheetId="2">'일별 시세'!#REF!</definedName>
    <definedName name="_7_20" localSheetId="2">'일별 시세'!#REF!</definedName>
    <definedName name="_7_21" localSheetId="2">'일별 시세'!#REF!</definedName>
    <definedName name="_7_22" localSheetId="2">'일별 시세'!#REF!</definedName>
    <definedName name="_7_23" localSheetId="2">'일별 시세'!#REF!</definedName>
    <definedName name="_7_24" localSheetId="2">'일별 시세'!#REF!</definedName>
    <definedName name="_7_25" localSheetId="2">'일별 시세'!#REF!</definedName>
    <definedName name="_7_26" localSheetId="2">'일별 시세'!#REF!</definedName>
    <definedName name="_7_27" localSheetId="2">'일별 시세'!#REF!</definedName>
    <definedName name="_7_28" localSheetId="2">'일별 시세'!#REF!</definedName>
    <definedName name="_7_29" localSheetId="2">'일별 시세'!#REF!</definedName>
    <definedName name="_7_3" localSheetId="2">'일별 시세'!#REF!</definedName>
    <definedName name="_7_30" localSheetId="2">'일별 시세'!#REF!</definedName>
    <definedName name="_7_31" localSheetId="2">'일별 시세'!#REF!</definedName>
    <definedName name="_7_32" localSheetId="2">'일별 시세'!#REF!</definedName>
    <definedName name="_7_33" localSheetId="2">'일별 시세'!#REF!</definedName>
    <definedName name="_7_34" localSheetId="2">'일별 시세'!#REF!</definedName>
    <definedName name="_7_35" localSheetId="2">'일별 시세'!#REF!</definedName>
    <definedName name="_7_36" localSheetId="2">'일별 시세'!#REF!</definedName>
    <definedName name="_7_37" localSheetId="2">'일별 시세'!#REF!</definedName>
    <definedName name="_7_38" localSheetId="2">'일별 시세'!#REF!</definedName>
    <definedName name="_7_39" localSheetId="2">'일별 시세'!#REF!</definedName>
    <definedName name="_7_4" localSheetId="2">'일별 시세'!#REF!</definedName>
    <definedName name="_7_40" localSheetId="2">'일별 시세'!#REF!</definedName>
    <definedName name="_7_41" localSheetId="2">'일별 시세'!#REF!</definedName>
    <definedName name="_7_42" localSheetId="2">'일별 시세'!#REF!</definedName>
    <definedName name="_7_43" localSheetId="2">'일별 시세'!#REF!</definedName>
    <definedName name="_7_44" localSheetId="2">'일별 시세'!#REF!</definedName>
    <definedName name="_7_45" localSheetId="2">'일별 시세'!#REF!</definedName>
    <definedName name="_7_46" localSheetId="2">'일별 시세'!#REF!</definedName>
    <definedName name="_7_47" localSheetId="2">'일별 시세'!#REF!</definedName>
    <definedName name="_7_48" localSheetId="2">'일별 시세'!#REF!</definedName>
    <definedName name="_7_49" localSheetId="2">'일별 시세'!#REF!</definedName>
    <definedName name="_7_5" localSheetId="2">'일별 시세'!#REF!</definedName>
    <definedName name="_7_50" localSheetId="2">'일별 시세'!#REF!</definedName>
    <definedName name="_7_51" localSheetId="2">'일별 시세'!#REF!</definedName>
    <definedName name="_7_52" localSheetId="2">'일별 시세'!#REF!</definedName>
    <definedName name="_7_53" localSheetId="2">'일별 시세'!#REF!</definedName>
    <definedName name="_7_54" localSheetId="2">'일별 시세'!#REF!</definedName>
    <definedName name="_7_55" localSheetId="2">'일별 시세'!#REF!</definedName>
    <definedName name="_7_56" localSheetId="2">'일별 시세'!#REF!</definedName>
    <definedName name="_7_57" localSheetId="2">'일별 시세'!#REF!</definedName>
    <definedName name="_7_58" localSheetId="2">'일별 시세'!#REF!</definedName>
    <definedName name="_7_59" localSheetId="2">'일별 시세'!#REF!</definedName>
    <definedName name="_7_6" localSheetId="2">'일별 시세'!#REF!</definedName>
    <definedName name="_7_60" localSheetId="2">'일별 시세'!#REF!</definedName>
    <definedName name="_7_61" localSheetId="2">'일별 시세'!#REF!</definedName>
    <definedName name="_7_62" localSheetId="2">'일별 시세'!#REF!</definedName>
    <definedName name="_7_63" localSheetId="2">'일별 시세'!#REF!</definedName>
    <definedName name="_7_64" localSheetId="2">'일별 시세'!#REF!</definedName>
    <definedName name="_7_65" localSheetId="2">'일별 시세'!#REF!</definedName>
    <definedName name="_7_66" localSheetId="2">'일별 시세'!#REF!</definedName>
    <definedName name="_7_67" localSheetId="2">'일별 시세'!#REF!</definedName>
    <definedName name="_7_68" localSheetId="2">'일별 시세'!#REF!</definedName>
    <definedName name="_7_69" localSheetId="2">'일별 시세'!#REF!</definedName>
    <definedName name="_7_7" localSheetId="2">'일별 시세'!#REF!</definedName>
    <definedName name="_7_70" localSheetId="2">'일별 시세'!#REF!</definedName>
    <definedName name="_7_71" localSheetId="2">'일별 시세'!#REF!</definedName>
    <definedName name="_7_72" localSheetId="2">'일별 시세'!#REF!</definedName>
    <definedName name="_7_73" localSheetId="2">'일별 시세'!#REF!</definedName>
    <definedName name="_7_74" localSheetId="2">'일별 시세'!#REF!</definedName>
    <definedName name="_7_75" localSheetId="2">'일별 시세'!#REF!</definedName>
    <definedName name="_7_76" localSheetId="2">'일별 시세'!#REF!</definedName>
    <definedName name="_7_77" localSheetId="2">'일별 시세'!#REF!</definedName>
    <definedName name="_7_78" localSheetId="2">'일별 시세'!#REF!</definedName>
    <definedName name="_7_79" localSheetId="2">'일별 시세'!#REF!</definedName>
    <definedName name="_7_8" localSheetId="2">'일별 시세'!#REF!</definedName>
    <definedName name="_7_80" localSheetId="2">'일별 시세'!#REF!</definedName>
    <definedName name="_7_81" localSheetId="2">'일별 시세'!#REF!</definedName>
    <definedName name="_7_82" localSheetId="2">'일별 시세'!#REF!</definedName>
    <definedName name="_7_83" localSheetId="2">'일별 시세'!#REF!</definedName>
    <definedName name="_7_84" localSheetId="2">'일별 시세'!#REF!</definedName>
    <definedName name="_7_85" localSheetId="2">'일별 시세'!#REF!</definedName>
    <definedName name="_7_86" localSheetId="2">'일별 시세'!#REF!</definedName>
    <definedName name="_7_87" localSheetId="2">'일별 시세'!#REF!</definedName>
    <definedName name="_7_88" localSheetId="2">'일별 시세'!#REF!</definedName>
    <definedName name="_7_89" localSheetId="2">'일별 시세'!#REF!</definedName>
    <definedName name="_7_9" localSheetId="2">'일별 시세'!#REF!</definedName>
    <definedName name="_7_90" localSheetId="2">'일별 시세'!#REF!</definedName>
    <definedName name="_7_91" localSheetId="2">'일별 시세'!#REF!</definedName>
    <definedName name="_7_92" localSheetId="2">'일별 시세'!#REF!</definedName>
    <definedName name="_7_93" localSheetId="2">'일별 시세'!#REF!</definedName>
    <definedName name="_7_94" localSheetId="2">'일별 시세'!#REF!</definedName>
    <definedName name="_7_95" localSheetId="2">'일별 시세'!#REF!</definedName>
    <definedName name="_7_96" localSheetId="2">'일별 시세'!#REF!</definedName>
    <definedName name="_7_97" localSheetId="2">'일별 시세'!#REF!</definedName>
    <definedName name="_7_98" localSheetId="2">'일별 시세'!#REF!</definedName>
    <definedName name="_7_99" localSheetId="2">'일별 시세'!#REF!</definedName>
    <definedName name="_8" localSheetId="2">'일별 시세'!#REF!</definedName>
    <definedName name="_8_1" localSheetId="2">'일별 시세'!#REF!</definedName>
    <definedName name="_8_10" localSheetId="2">'일별 시세'!#REF!</definedName>
    <definedName name="_8_100" localSheetId="2">'일별 시세'!#REF!</definedName>
    <definedName name="_8_101" localSheetId="2">'일별 시세'!#REF!</definedName>
    <definedName name="_8_102" localSheetId="2">'일별 시세'!#REF!</definedName>
    <definedName name="_8_103" localSheetId="2">'일별 시세'!#REF!</definedName>
    <definedName name="_8_104" localSheetId="2">'일별 시세'!#REF!</definedName>
    <definedName name="_8_105" localSheetId="2">'일별 시세'!#REF!</definedName>
    <definedName name="_8_106" localSheetId="2">'일별 시세'!#REF!</definedName>
    <definedName name="_8_107" localSheetId="2">'일별 시세'!#REF!</definedName>
    <definedName name="_8_108" localSheetId="2">'일별 시세'!#REF!</definedName>
    <definedName name="_8_109" localSheetId="2">'일별 시세'!#REF!</definedName>
    <definedName name="_8_11" localSheetId="2">'일별 시세'!#REF!</definedName>
    <definedName name="_8_110" localSheetId="2">'일별 시세'!#REF!</definedName>
    <definedName name="_8_111" localSheetId="2">'일별 시세'!#REF!</definedName>
    <definedName name="_8_112" localSheetId="2">'일별 시세'!#REF!</definedName>
    <definedName name="_8_113" localSheetId="2">'일별 시세'!#REF!</definedName>
    <definedName name="_8_114" localSheetId="2">'일별 시세'!#REF!</definedName>
    <definedName name="_8_115" localSheetId="2">'일별 시세'!#REF!</definedName>
    <definedName name="_8_116" localSheetId="2">'일별 시세'!#REF!</definedName>
    <definedName name="_8_117" localSheetId="2">'일별 시세'!#REF!</definedName>
    <definedName name="_8_118" localSheetId="2">'일별 시세'!#REF!</definedName>
    <definedName name="_8_119" localSheetId="2">'일별 시세'!#REF!</definedName>
    <definedName name="_8_12" localSheetId="2">'일별 시세'!#REF!</definedName>
    <definedName name="_8_120" localSheetId="2">'일별 시세'!#REF!</definedName>
    <definedName name="_8_121" localSheetId="2">'일별 시세'!#REF!</definedName>
    <definedName name="_8_122" localSheetId="2">'일별 시세'!#REF!</definedName>
    <definedName name="_8_123" localSheetId="2">'일별 시세'!#REF!</definedName>
    <definedName name="_8_124" localSheetId="2">'일별 시세'!#REF!</definedName>
    <definedName name="_8_125" localSheetId="2">'일별 시세'!#REF!</definedName>
    <definedName name="_8_126" localSheetId="2">'일별 시세'!#REF!</definedName>
    <definedName name="_8_127" localSheetId="2">'일별 시세'!#REF!</definedName>
    <definedName name="_8_128" localSheetId="2">'일별 시세'!#REF!</definedName>
    <definedName name="_8_129" localSheetId="2">'일별 시세'!#REF!</definedName>
    <definedName name="_8_13" localSheetId="2">'일별 시세'!#REF!</definedName>
    <definedName name="_8_130" localSheetId="2">'일별 시세'!#REF!</definedName>
    <definedName name="_8_131" localSheetId="2">'일별 시세'!#REF!</definedName>
    <definedName name="_8_132" localSheetId="2">'일별 시세'!#REF!</definedName>
    <definedName name="_8_133" localSheetId="2">'일별 시세'!#REF!</definedName>
    <definedName name="_8_134" localSheetId="2">'일별 시세'!$AX$2:$BD$15</definedName>
    <definedName name="_8_14" localSheetId="2">'일별 시세'!#REF!</definedName>
    <definedName name="_8_15" localSheetId="2">'일별 시세'!#REF!</definedName>
    <definedName name="_8_16" localSheetId="2">'일별 시세'!#REF!</definedName>
    <definedName name="_8_17" localSheetId="2">'일별 시세'!#REF!</definedName>
    <definedName name="_8_18" localSheetId="2">'일별 시세'!#REF!</definedName>
    <definedName name="_8_19" localSheetId="2">'일별 시세'!#REF!</definedName>
    <definedName name="_8_2" localSheetId="2">'일별 시세'!#REF!</definedName>
    <definedName name="_8_20" localSheetId="2">'일별 시세'!#REF!</definedName>
    <definedName name="_8_21" localSheetId="2">'일별 시세'!#REF!</definedName>
    <definedName name="_8_22" localSheetId="2">'일별 시세'!#REF!</definedName>
    <definedName name="_8_23" localSheetId="2">'일별 시세'!#REF!</definedName>
    <definedName name="_8_24" localSheetId="2">'일별 시세'!#REF!</definedName>
    <definedName name="_8_25" localSheetId="2">'일별 시세'!#REF!</definedName>
    <definedName name="_8_26" localSheetId="2">'일별 시세'!#REF!</definedName>
    <definedName name="_8_27" localSheetId="2">'일별 시세'!#REF!</definedName>
    <definedName name="_8_28" localSheetId="2">'일별 시세'!#REF!</definedName>
    <definedName name="_8_29" localSheetId="2">'일별 시세'!#REF!</definedName>
    <definedName name="_8_3" localSheetId="2">'일별 시세'!#REF!</definedName>
    <definedName name="_8_30" localSheetId="2">'일별 시세'!#REF!</definedName>
    <definedName name="_8_31" localSheetId="2">'일별 시세'!#REF!</definedName>
    <definedName name="_8_32" localSheetId="2">'일별 시세'!#REF!</definedName>
    <definedName name="_8_33" localSheetId="2">'일별 시세'!#REF!</definedName>
    <definedName name="_8_34" localSheetId="2">'일별 시세'!#REF!</definedName>
    <definedName name="_8_35" localSheetId="2">'일별 시세'!#REF!</definedName>
    <definedName name="_8_36" localSheetId="2">'일별 시세'!#REF!</definedName>
    <definedName name="_8_37" localSheetId="2">'일별 시세'!#REF!</definedName>
    <definedName name="_8_38" localSheetId="2">'일별 시세'!#REF!</definedName>
    <definedName name="_8_39" localSheetId="2">'일별 시세'!#REF!</definedName>
    <definedName name="_8_4" localSheetId="2">'일별 시세'!#REF!</definedName>
    <definedName name="_8_40" localSheetId="2">'일별 시세'!#REF!</definedName>
    <definedName name="_8_41" localSheetId="2">'일별 시세'!#REF!</definedName>
    <definedName name="_8_42" localSheetId="2">'일별 시세'!#REF!</definedName>
    <definedName name="_8_43" localSheetId="2">'일별 시세'!#REF!</definedName>
    <definedName name="_8_44" localSheetId="2">'일별 시세'!#REF!</definedName>
    <definedName name="_8_45" localSheetId="2">'일별 시세'!#REF!</definedName>
    <definedName name="_8_46" localSheetId="2">'일별 시세'!#REF!</definedName>
    <definedName name="_8_47" localSheetId="2">'일별 시세'!#REF!</definedName>
    <definedName name="_8_48" localSheetId="2">'일별 시세'!#REF!</definedName>
    <definedName name="_8_49" localSheetId="2">'일별 시세'!#REF!</definedName>
    <definedName name="_8_5" localSheetId="2">'일별 시세'!#REF!</definedName>
    <definedName name="_8_50" localSheetId="2">'일별 시세'!#REF!</definedName>
    <definedName name="_8_51" localSheetId="2">'일별 시세'!#REF!</definedName>
    <definedName name="_8_52" localSheetId="2">'일별 시세'!#REF!</definedName>
    <definedName name="_8_53" localSheetId="2">'일별 시세'!#REF!</definedName>
    <definedName name="_8_54" localSheetId="2">'일별 시세'!#REF!</definedName>
    <definedName name="_8_55" localSheetId="2">'일별 시세'!#REF!</definedName>
    <definedName name="_8_56" localSheetId="2">'일별 시세'!#REF!</definedName>
    <definedName name="_8_57" localSheetId="2">'일별 시세'!#REF!</definedName>
    <definedName name="_8_58" localSheetId="2">'일별 시세'!#REF!</definedName>
    <definedName name="_8_59" localSheetId="2">'일별 시세'!#REF!</definedName>
    <definedName name="_8_6" localSheetId="2">'일별 시세'!#REF!</definedName>
    <definedName name="_8_60" localSheetId="2">'일별 시세'!#REF!</definedName>
    <definedName name="_8_61" localSheetId="2">'일별 시세'!#REF!</definedName>
    <definedName name="_8_62" localSheetId="2">'일별 시세'!#REF!</definedName>
    <definedName name="_8_63" localSheetId="2">'일별 시세'!#REF!</definedName>
    <definedName name="_8_64" localSheetId="2">'일별 시세'!#REF!</definedName>
    <definedName name="_8_65" localSheetId="2">'일별 시세'!#REF!</definedName>
    <definedName name="_8_66" localSheetId="2">'일별 시세'!#REF!</definedName>
    <definedName name="_8_67" localSheetId="2">'일별 시세'!#REF!</definedName>
    <definedName name="_8_68" localSheetId="2">'일별 시세'!#REF!</definedName>
    <definedName name="_8_69" localSheetId="2">'일별 시세'!#REF!</definedName>
    <definedName name="_8_7" localSheetId="2">'일별 시세'!#REF!</definedName>
    <definedName name="_8_70" localSheetId="2">'일별 시세'!#REF!</definedName>
    <definedName name="_8_71" localSheetId="2">'일별 시세'!#REF!</definedName>
    <definedName name="_8_72" localSheetId="2">'일별 시세'!#REF!</definedName>
    <definedName name="_8_73" localSheetId="2">'일별 시세'!#REF!</definedName>
    <definedName name="_8_74" localSheetId="2">'일별 시세'!#REF!</definedName>
    <definedName name="_8_75" localSheetId="2">'일별 시세'!#REF!</definedName>
    <definedName name="_8_76" localSheetId="2">'일별 시세'!#REF!</definedName>
    <definedName name="_8_77" localSheetId="2">'일별 시세'!#REF!</definedName>
    <definedName name="_8_78" localSheetId="2">'일별 시세'!#REF!</definedName>
    <definedName name="_8_79" localSheetId="2">'일별 시세'!#REF!</definedName>
    <definedName name="_8_8" localSheetId="2">'일별 시세'!#REF!</definedName>
    <definedName name="_8_80" localSheetId="2">'일별 시세'!#REF!</definedName>
    <definedName name="_8_81" localSheetId="2">'일별 시세'!#REF!</definedName>
    <definedName name="_8_82" localSheetId="2">'일별 시세'!#REF!</definedName>
    <definedName name="_8_83" localSheetId="2">'일별 시세'!#REF!</definedName>
    <definedName name="_8_84" localSheetId="2">'일별 시세'!#REF!</definedName>
    <definedName name="_8_85" localSheetId="2">'일별 시세'!#REF!</definedName>
    <definedName name="_8_86" localSheetId="2">'일별 시세'!#REF!</definedName>
    <definedName name="_8_87" localSheetId="2">'일별 시세'!#REF!</definedName>
    <definedName name="_8_88" localSheetId="2">'일별 시세'!#REF!</definedName>
    <definedName name="_8_89" localSheetId="2">'일별 시세'!#REF!</definedName>
    <definedName name="_8_9" localSheetId="2">'일별 시세'!#REF!</definedName>
    <definedName name="_8_90" localSheetId="2">'일별 시세'!#REF!</definedName>
    <definedName name="_8_91" localSheetId="2">'일별 시세'!#REF!</definedName>
    <definedName name="_8_92" localSheetId="2">'일별 시세'!#REF!</definedName>
    <definedName name="_8_93" localSheetId="2">'일별 시세'!#REF!</definedName>
    <definedName name="_8_94" localSheetId="2">'일별 시세'!#REF!</definedName>
    <definedName name="_8_95" localSheetId="2">'일별 시세'!#REF!</definedName>
    <definedName name="_8_96" localSheetId="2">'일별 시세'!#REF!</definedName>
    <definedName name="_8_97" localSheetId="2">'일별 시세'!#REF!</definedName>
    <definedName name="_8_98" localSheetId="2">'일별 시세'!#REF!</definedName>
    <definedName name="_8_99" localSheetId="2">'일별 시세'!#REF!</definedName>
    <definedName name="_9" localSheetId="2">'일별 시세'!#REF!</definedName>
    <definedName name="_9_1" localSheetId="2">'일별 시세'!#REF!</definedName>
    <definedName name="_9_10" localSheetId="2">'일별 시세'!#REF!</definedName>
    <definedName name="_9_100" localSheetId="2">'일별 시세'!#REF!</definedName>
    <definedName name="_9_101" localSheetId="2">'일별 시세'!#REF!</definedName>
    <definedName name="_9_102" localSheetId="2">'일별 시세'!#REF!</definedName>
    <definedName name="_9_103" localSheetId="2">'일별 시세'!#REF!</definedName>
    <definedName name="_9_104" localSheetId="2">'일별 시세'!#REF!</definedName>
    <definedName name="_9_105" localSheetId="2">'일별 시세'!#REF!</definedName>
    <definedName name="_9_106" localSheetId="2">'일별 시세'!#REF!</definedName>
    <definedName name="_9_107" localSheetId="2">'일별 시세'!#REF!</definedName>
    <definedName name="_9_108" localSheetId="2">'일별 시세'!#REF!</definedName>
    <definedName name="_9_109" localSheetId="2">'일별 시세'!#REF!</definedName>
    <definedName name="_9_11" localSheetId="2">'일별 시세'!#REF!</definedName>
    <definedName name="_9_110" localSheetId="2">'일별 시세'!#REF!</definedName>
    <definedName name="_9_111" localSheetId="2">'일별 시세'!#REF!</definedName>
    <definedName name="_9_112" localSheetId="2">'일별 시세'!#REF!</definedName>
    <definedName name="_9_113" localSheetId="2">'일별 시세'!#REF!</definedName>
    <definedName name="_9_114" localSheetId="2">'일별 시세'!#REF!</definedName>
    <definedName name="_9_115" localSheetId="2">'일별 시세'!#REF!</definedName>
    <definedName name="_9_116" localSheetId="2">'일별 시세'!#REF!</definedName>
    <definedName name="_9_117" localSheetId="2">'일별 시세'!#REF!</definedName>
    <definedName name="_9_118" localSheetId="2">'일별 시세'!#REF!</definedName>
    <definedName name="_9_119" localSheetId="2">'일별 시세'!#REF!</definedName>
    <definedName name="_9_12" localSheetId="2">'일별 시세'!#REF!</definedName>
    <definedName name="_9_120" localSheetId="2">'일별 시세'!#REF!</definedName>
    <definedName name="_9_121" localSheetId="2">'일별 시세'!#REF!</definedName>
    <definedName name="_9_122" localSheetId="2">'일별 시세'!#REF!</definedName>
    <definedName name="_9_123" localSheetId="2">'일별 시세'!#REF!</definedName>
    <definedName name="_9_124" localSheetId="2">'일별 시세'!#REF!</definedName>
    <definedName name="_9_125" localSheetId="2">'일별 시세'!#REF!</definedName>
    <definedName name="_9_126" localSheetId="2">'일별 시세'!#REF!</definedName>
    <definedName name="_9_127" localSheetId="2">'일별 시세'!#REF!</definedName>
    <definedName name="_9_128" localSheetId="2">'일별 시세'!#REF!</definedName>
    <definedName name="_9_129" localSheetId="2">'일별 시세'!#REF!</definedName>
    <definedName name="_9_13" localSheetId="2">'일별 시세'!#REF!</definedName>
    <definedName name="_9_130" localSheetId="2">'일별 시세'!#REF!</definedName>
    <definedName name="_9_131" localSheetId="2">'일별 시세'!#REF!</definedName>
    <definedName name="_9_132" localSheetId="2">'일별 시세'!#REF!</definedName>
    <definedName name="_9_133" localSheetId="2">'일별 시세'!#REF!</definedName>
    <definedName name="_9_134" localSheetId="2">'일별 시세'!$BE$2:$BK$15</definedName>
    <definedName name="_9_14" localSheetId="2">'일별 시세'!#REF!</definedName>
    <definedName name="_9_15" localSheetId="2">'일별 시세'!#REF!</definedName>
    <definedName name="_9_16" localSheetId="2">'일별 시세'!#REF!</definedName>
    <definedName name="_9_17" localSheetId="2">'일별 시세'!#REF!</definedName>
    <definedName name="_9_18" localSheetId="2">'일별 시세'!#REF!</definedName>
    <definedName name="_9_19" localSheetId="2">'일별 시세'!#REF!</definedName>
    <definedName name="_9_2" localSheetId="2">'일별 시세'!#REF!</definedName>
    <definedName name="_9_20" localSheetId="2">'일별 시세'!#REF!</definedName>
    <definedName name="_9_21" localSheetId="2">'일별 시세'!#REF!</definedName>
    <definedName name="_9_22" localSheetId="2">'일별 시세'!#REF!</definedName>
    <definedName name="_9_23" localSheetId="2">'일별 시세'!#REF!</definedName>
    <definedName name="_9_24" localSheetId="2">'일별 시세'!#REF!</definedName>
    <definedName name="_9_25" localSheetId="2">'일별 시세'!#REF!</definedName>
    <definedName name="_9_26" localSheetId="2">'일별 시세'!#REF!</definedName>
    <definedName name="_9_27" localSheetId="2">'일별 시세'!#REF!</definedName>
    <definedName name="_9_28" localSheetId="2">'일별 시세'!#REF!</definedName>
    <definedName name="_9_29" localSheetId="2">'일별 시세'!#REF!</definedName>
    <definedName name="_9_3" localSheetId="2">'일별 시세'!#REF!</definedName>
    <definedName name="_9_30" localSheetId="2">'일별 시세'!#REF!</definedName>
    <definedName name="_9_31" localSheetId="2">'일별 시세'!#REF!</definedName>
    <definedName name="_9_32" localSheetId="2">'일별 시세'!#REF!</definedName>
    <definedName name="_9_33" localSheetId="2">'일별 시세'!#REF!</definedName>
    <definedName name="_9_34" localSheetId="2">'일별 시세'!#REF!</definedName>
    <definedName name="_9_35" localSheetId="2">'일별 시세'!#REF!</definedName>
    <definedName name="_9_36" localSheetId="2">'일별 시세'!#REF!</definedName>
    <definedName name="_9_37" localSheetId="2">'일별 시세'!#REF!</definedName>
    <definedName name="_9_38" localSheetId="2">'일별 시세'!#REF!</definedName>
    <definedName name="_9_39" localSheetId="2">'일별 시세'!#REF!</definedName>
    <definedName name="_9_4" localSheetId="2">'일별 시세'!#REF!</definedName>
    <definedName name="_9_40" localSheetId="2">'일별 시세'!#REF!</definedName>
    <definedName name="_9_41" localSheetId="2">'일별 시세'!#REF!</definedName>
    <definedName name="_9_42" localSheetId="2">'일별 시세'!#REF!</definedName>
    <definedName name="_9_43" localSheetId="2">'일별 시세'!#REF!</definedName>
    <definedName name="_9_44" localSheetId="2">'일별 시세'!#REF!</definedName>
    <definedName name="_9_45" localSheetId="2">'일별 시세'!#REF!</definedName>
    <definedName name="_9_46" localSheetId="2">'일별 시세'!#REF!</definedName>
    <definedName name="_9_47" localSheetId="2">'일별 시세'!#REF!</definedName>
    <definedName name="_9_48" localSheetId="2">'일별 시세'!#REF!</definedName>
    <definedName name="_9_49" localSheetId="2">'일별 시세'!#REF!</definedName>
    <definedName name="_9_5" localSheetId="2">'일별 시세'!#REF!</definedName>
    <definedName name="_9_50" localSheetId="2">'일별 시세'!#REF!</definedName>
    <definedName name="_9_51" localSheetId="2">'일별 시세'!#REF!</definedName>
    <definedName name="_9_52" localSheetId="2">'일별 시세'!#REF!</definedName>
    <definedName name="_9_53" localSheetId="2">'일별 시세'!#REF!</definedName>
    <definedName name="_9_54" localSheetId="2">'일별 시세'!#REF!</definedName>
    <definedName name="_9_55" localSheetId="2">'일별 시세'!#REF!</definedName>
    <definedName name="_9_56" localSheetId="2">'일별 시세'!#REF!</definedName>
    <definedName name="_9_57" localSheetId="2">'일별 시세'!#REF!</definedName>
    <definedName name="_9_58" localSheetId="2">'일별 시세'!#REF!</definedName>
    <definedName name="_9_59" localSheetId="2">'일별 시세'!#REF!</definedName>
    <definedName name="_9_6" localSheetId="2">'일별 시세'!#REF!</definedName>
    <definedName name="_9_60" localSheetId="2">'일별 시세'!#REF!</definedName>
    <definedName name="_9_61" localSheetId="2">'일별 시세'!#REF!</definedName>
    <definedName name="_9_62" localSheetId="2">'일별 시세'!#REF!</definedName>
    <definedName name="_9_63" localSheetId="2">'일별 시세'!#REF!</definedName>
    <definedName name="_9_64" localSheetId="2">'일별 시세'!#REF!</definedName>
    <definedName name="_9_65" localSheetId="2">'일별 시세'!#REF!</definedName>
    <definedName name="_9_66" localSheetId="2">'일별 시세'!#REF!</definedName>
    <definedName name="_9_67" localSheetId="2">'일별 시세'!#REF!</definedName>
    <definedName name="_9_68" localSheetId="2">'일별 시세'!#REF!</definedName>
    <definedName name="_9_69" localSheetId="2">'일별 시세'!#REF!</definedName>
    <definedName name="_9_7" localSheetId="2">'일별 시세'!#REF!</definedName>
    <definedName name="_9_70" localSheetId="2">'일별 시세'!#REF!</definedName>
    <definedName name="_9_71" localSheetId="2">'일별 시세'!#REF!</definedName>
    <definedName name="_9_72" localSheetId="2">'일별 시세'!#REF!</definedName>
    <definedName name="_9_73" localSheetId="2">'일별 시세'!#REF!</definedName>
    <definedName name="_9_74" localSheetId="2">'일별 시세'!#REF!</definedName>
    <definedName name="_9_75" localSheetId="2">'일별 시세'!#REF!</definedName>
    <definedName name="_9_76" localSheetId="2">'일별 시세'!#REF!</definedName>
    <definedName name="_9_77" localSheetId="2">'일별 시세'!#REF!</definedName>
    <definedName name="_9_78" localSheetId="2">'일별 시세'!#REF!</definedName>
    <definedName name="_9_79" localSheetId="2">'일별 시세'!#REF!</definedName>
    <definedName name="_9_8" localSheetId="2">'일별 시세'!#REF!</definedName>
    <definedName name="_9_80" localSheetId="2">'일별 시세'!#REF!</definedName>
    <definedName name="_9_81" localSheetId="2">'일별 시세'!#REF!</definedName>
    <definedName name="_9_82" localSheetId="2">'일별 시세'!#REF!</definedName>
    <definedName name="_9_83" localSheetId="2">'일별 시세'!#REF!</definedName>
    <definedName name="_9_84" localSheetId="2">'일별 시세'!#REF!</definedName>
    <definedName name="_9_85" localSheetId="2">'일별 시세'!#REF!</definedName>
    <definedName name="_9_86" localSheetId="2">'일별 시세'!#REF!</definedName>
    <definedName name="_9_87" localSheetId="2">'일별 시세'!#REF!</definedName>
    <definedName name="_9_88" localSheetId="2">'일별 시세'!#REF!</definedName>
    <definedName name="_9_89" localSheetId="2">'일별 시세'!#REF!</definedName>
    <definedName name="_9_9" localSheetId="2">'일별 시세'!#REF!</definedName>
    <definedName name="_9_90" localSheetId="2">'일별 시세'!#REF!</definedName>
    <definedName name="_9_91" localSheetId="2">'일별 시세'!#REF!</definedName>
    <definedName name="_9_92" localSheetId="2">'일별 시세'!#REF!</definedName>
    <definedName name="_9_93" localSheetId="2">'일별 시세'!#REF!</definedName>
    <definedName name="_9_94" localSheetId="2">'일별 시세'!#REF!</definedName>
    <definedName name="_9_95" localSheetId="2">'일별 시세'!#REF!</definedName>
    <definedName name="_9_96" localSheetId="2">'일별 시세'!#REF!</definedName>
    <definedName name="_9_97" localSheetId="2">'일별 시세'!#REF!</definedName>
    <definedName name="_9_98" localSheetId="2">'일별 시세'!#REF!</definedName>
    <definedName name="_9_99" localSheetId="2">'일별 시세'!#REF!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0" i="5" l="1"/>
  <c r="M19" i="5"/>
  <c r="M18" i="5"/>
  <c r="M16" i="5"/>
  <c r="I24" i="5" l="1"/>
  <c r="I21" i="5" l="1"/>
  <c r="G16" i="5"/>
  <c r="I19" i="5"/>
  <c r="I17" i="5"/>
  <c r="I16" i="5"/>
  <c r="I22" i="5" l="1"/>
  <c r="M17" i="5"/>
  <c r="I23" i="5"/>
  <c r="I18" i="5"/>
  <c r="I20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leezz</author>
  </authors>
  <commentList>
    <comment ref="P32" authorId="0" shapeId="0" xr:uid="{FAABE159-6B20-4DB4-BFF6-97FEA14D706B}">
      <text>
        <r>
          <rPr>
            <sz val="11"/>
            <color indexed="81"/>
            <rFont val="맑은 고딕"/>
            <family val="3"/>
            <charset val="129"/>
            <scheme val="major"/>
          </rPr>
          <t>당일 주가(현재가)를 이동평균값(20일)으로 나눈 비율이 120%이상 일 경우의 종목</t>
        </r>
        <r>
          <rPr>
            <sz val="11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leezz</author>
  </authors>
  <commentList>
    <comment ref="D16" authorId="0" shapeId="0" xr:uid="{116A1048-BFC0-4539-A2CB-A2421738F96E}">
      <text>
        <r>
          <rPr>
            <sz val="11"/>
            <color indexed="81"/>
            <rFont val="Tahoma"/>
            <family val="2"/>
          </rPr>
          <t xml:space="preserve">https://www.kisrating.com/ratingsStatistics/statics_spread.do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1649466-26C4-44F8-A58E-8C64129B1D5C}" name="연결" type="4" refreshedVersion="6" background="1" saveData="1">
    <webPr sourceData="1" parsePre="1" consecutive="1" xl2000="1" url="https://finance.naver.com/item/sise_day.nhn?code=041190&amp;page=10"/>
  </connection>
  <connection id="2" xr16:uid="{0FD0409D-23CD-4F3B-8042-ACCBCD07CA29}" name="연결1" type="4" refreshedVersion="6" background="1" saveData="1">
    <webPr sourceData="1" parsePre="1" consecutive="1" xl2000="1" url="https://finance.naver.com/item/sise_day.nhn?code=041190&amp;page=9"/>
  </connection>
  <connection id="3" xr16:uid="{DDE3AFF7-85CA-468C-B9B4-28FBAD1C0093}" name="연결2" type="4" refreshedVersion="6" background="1" saveData="1">
    <webPr sourceData="1" parsePre="1" consecutive="1" xl2000="1" url="https://finance.naver.com/item/sise_day.nhn?code=041190&amp;page=8"/>
  </connection>
  <connection id="4" xr16:uid="{45FF28B2-27D0-40A3-A96B-5172F7FDB4A6}" name="연결3" type="4" refreshedVersion="6" background="1" saveData="1">
    <webPr sourceData="1" parsePre="1" consecutive="1" xl2000="1" url="https://finance.naver.com/item/sise_day.nhn?code=041190&amp;page=7"/>
  </connection>
  <connection id="5" xr16:uid="{233FD4D4-22DD-4FE9-83F7-72E31E7A1452}" name="연결4" type="4" refreshedVersion="6" background="1" saveData="1">
    <webPr sourceData="1" parsePre="1" consecutive="1" xl2000="1" url="https://finance.naver.com/item/sise_day.nhn?code=041190&amp;page=6"/>
  </connection>
  <connection id="6" xr16:uid="{33F7AE4C-0B3D-464D-A837-F0FA065B1442}" name="연결5" type="4" refreshedVersion="6" background="1" saveData="1">
    <webPr sourceData="1" parsePre="1" consecutive="1" xl2000="1" url="https://finance.naver.com/item/sise_day.nhn?code=041190&amp;page=5"/>
  </connection>
  <connection id="7" xr16:uid="{B5E34CF4-40C9-47C7-A2B0-3F01E97125AE}" name="연결6" type="4" refreshedVersion="6" background="1" saveData="1">
    <webPr sourceData="1" parsePre="1" consecutive="1" xl2000="1" url="https://finance.naver.com/item/sise_day.nhn?code=041190&amp;page=4"/>
  </connection>
  <connection id="8" xr16:uid="{14B4AC64-B928-4502-B0F1-C9476DC3984B}" name="연결7" type="4" refreshedVersion="6" background="1" saveData="1">
    <webPr sourceData="1" parsePre="1" consecutive="1" xl2000="1" url="https://finance.naver.com/item/sise_day.nhn?code=041190&amp;page=3"/>
  </connection>
  <connection id="9" xr16:uid="{8D54C1CB-4A17-4A61-978B-A5FE7FB3B0EB}" name="연결8" type="4" refreshedVersion="6" background="1" saveData="1">
    <webPr sourceData="1" parsePre="1" consecutive="1" xl2000="1" url="https://finance.naver.com/item/sise_day.nhn?code=041190&amp;page=2"/>
  </connection>
  <connection id="10" xr16:uid="{474507AD-1143-4707-9C36-C73E58A33F51}" name="연결9" type="4" refreshedVersion="6" background="1" saveData="1">
    <webPr sourceData="1" parsePre="1" consecutive="1" xl2000="1" url="https://finance.naver.com/item/sise_day.nhn?code=041190&amp;page=1"/>
  </connection>
</connections>
</file>

<file path=xl/sharedStrings.xml><?xml version="1.0" encoding="utf-8"?>
<sst xmlns="http://schemas.openxmlformats.org/spreadsheetml/2006/main" count="2303" uniqueCount="2035">
  <si>
    <t>날짜</t>
  </si>
  <si>
    <t>종가</t>
  </si>
  <si>
    <t>전일비</t>
  </si>
  <si>
    <t>시가</t>
  </si>
  <si>
    <t>고가</t>
  </si>
  <si>
    <t>저가</t>
  </si>
  <si>
    <t>거래량</t>
  </si>
  <si>
    <t xml:space="preserve">맨앞 </t>
  </si>
  <si>
    <t>날짜</t>
    <phoneticPr fontId="1" type="noConversion"/>
  </si>
  <si>
    <t>종목명</t>
    <phoneticPr fontId="1" type="noConversion"/>
  </si>
  <si>
    <t>종목코드</t>
    <phoneticPr fontId="1" type="noConversion"/>
  </si>
  <si>
    <t>[005930]</t>
    <phoneticPr fontId="1" type="noConversion"/>
  </si>
  <si>
    <t>[005380]</t>
    <phoneticPr fontId="1" type="noConversion"/>
  </si>
  <si>
    <t>KT&amp;G</t>
    <phoneticPr fontId="1" type="noConversion"/>
  </si>
  <si>
    <t>[033780]</t>
    <phoneticPr fontId="1" type="noConversion"/>
  </si>
  <si>
    <t>넷마블</t>
    <phoneticPr fontId="1" type="noConversion"/>
  </si>
  <si>
    <t>[251270]</t>
    <phoneticPr fontId="1" type="noConversion"/>
  </si>
  <si>
    <t>삼성전기</t>
    <phoneticPr fontId="1" type="noConversion"/>
  </si>
  <si>
    <t>[009150]</t>
    <phoneticPr fontId="1" type="noConversion"/>
  </si>
  <si>
    <t>하나금융지주</t>
    <phoneticPr fontId="1" type="noConversion"/>
  </si>
  <si>
    <t>[086790]</t>
    <phoneticPr fontId="1" type="noConversion"/>
  </si>
  <si>
    <t>아모레퍼시픽</t>
    <phoneticPr fontId="1" type="noConversion"/>
  </si>
  <si>
    <t>[090430]</t>
    <phoneticPr fontId="1" type="noConversion"/>
  </si>
  <si>
    <t>삼성화재</t>
    <phoneticPr fontId="1" type="noConversion"/>
  </si>
  <si>
    <t>[000810]</t>
    <phoneticPr fontId="1" type="noConversion"/>
  </si>
  <si>
    <t>롯데케미칼</t>
    <phoneticPr fontId="1" type="noConversion"/>
  </si>
  <si>
    <t>[011170]</t>
    <phoneticPr fontId="1" type="noConversion"/>
  </si>
  <si>
    <t>신풍제약</t>
    <phoneticPr fontId="1" type="noConversion"/>
  </si>
  <si>
    <t>[019170]</t>
    <phoneticPr fontId="1" type="noConversion"/>
  </si>
  <si>
    <t>고려아연</t>
    <phoneticPr fontId="1" type="noConversion"/>
  </si>
  <si>
    <t>[010130]</t>
    <phoneticPr fontId="1" type="noConversion"/>
  </si>
  <si>
    <t>한화솔루션</t>
    <phoneticPr fontId="1" type="noConversion"/>
  </si>
  <si>
    <t>[009830]</t>
    <phoneticPr fontId="1" type="noConversion"/>
  </si>
  <si>
    <t>현대글로비스</t>
    <phoneticPr fontId="1" type="noConversion"/>
  </si>
  <si>
    <t>[086280]</t>
    <phoneticPr fontId="1" type="noConversion"/>
  </si>
  <si>
    <t>우리금융지주</t>
    <phoneticPr fontId="1" type="noConversion"/>
  </si>
  <si>
    <t>[316140]</t>
    <phoneticPr fontId="1" type="noConversion"/>
  </si>
  <si>
    <t>S-Oil</t>
    <phoneticPr fontId="1" type="noConversion"/>
  </si>
  <si>
    <t>[010950]</t>
    <phoneticPr fontId="1" type="noConversion"/>
  </si>
  <si>
    <t>기업은행</t>
    <phoneticPr fontId="1" type="noConversion"/>
  </si>
  <si>
    <t>[024110]</t>
    <phoneticPr fontId="1" type="noConversion"/>
  </si>
  <si>
    <t>한온시스템</t>
    <phoneticPr fontId="1" type="noConversion"/>
  </si>
  <si>
    <t>[018880]</t>
    <phoneticPr fontId="1" type="noConversion"/>
  </si>
  <si>
    <t>빅히트</t>
    <phoneticPr fontId="1" type="noConversion"/>
  </si>
  <si>
    <t>[352820]</t>
    <phoneticPr fontId="1" type="noConversion"/>
  </si>
  <si>
    <t>KT</t>
    <phoneticPr fontId="1" type="noConversion"/>
  </si>
  <si>
    <t>[030200]</t>
    <phoneticPr fontId="1" type="noConversion"/>
  </si>
  <si>
    <t>한국조선해양</t>
    <phoneticPr fontId="1" type="noConversion"/>
  </si>
  <si>
    <t>[009540]</t>
    <phoneticPr fontId="1" type="noConversion"/>
  </si>
  <si>
    <t>CJ제일제당</t>
    <phoneticPr fontId="1" type="noConversion"/>
  </si>
  <si>
    <t>[097950]</t>
    <phoneticPr fontId="1" type="noConversion"/>
  </si>
  <si>
    <t>미래에셋대우</t>
    <phoneticPr fontId="1" type="noConversion"/>
  </si>
  <si>
    <t>[006800]</t>
    <phoneticPr fontId="1" type="noConversion"/>
  </si>
  <si>
    <t>LG디스플레이</t>
    <phoneticPr fontId="1" type="noConversion"/>
  </si>
  <si>
    <t>[034220]</t>
    <phoneticPr fontId="1" type="noConversion"/>
  </si>
  <si>
    <t>코웨이</t>
    <phoneticPr fontId="1" type="noConversion"/>
  </si>
  <si>
    <t>[021240]</t>
    <phoneticPr fontId="1" type="noConversion"/>
  </si>
  <si>
    <t>LG유플러스</t>
    <phoneticPr fontId="1" type="noConversion"/>
  </si>
  <si>
    <t>[032640]</t>
    <phoneticPr fontId="1" type="noConversion"/>
  </si>
  <si>
    <t>KODEX 200</t>
    <phoneticPr fontId="1" type="noConversion"/>
  </si>
  <si>
    <t>[069500]</t>
    <phoneticPr fontId="1" type="noConversion"/>
  </si>
  <si>
    <t>강원랜드</t>
    <phoneticPr fontId="1" type="noConversion"/>
  </si>
  <si>
    <t>[035250]</t>
    <phoneticPr fontId="1" type="noConversion"/>
  </si>
  <si>
    <t>오리온</t>
    <phoneticPr fontId="1" type="noConversion"/>
  </si>
  <si>
    <t>[271560]</t>
    <phoneticPr fontId="1" type="noConversion"/>
  </si>
  <si>
    <t>한진칼</t>
    <phoneticPr fontId="1" type="noConversion"/>
  </si>
  <si>
    <t>[180640]</t>
    <phoneticPr fontId="1" type="noConversion"/>
  </si>
  <si>
    <t>포스코케미칼</t>
    <phoneticPr fontId="1" type="noConversion"/>
  </si>
  <si>
    <t>[003670]</t>
    <phoneticPr fontId="1" type="noConversion"/>
  </si>
  <si>
    <t>현대제철</t>
    <phoneticPr fontId="1" type="noConversion"/>
  </si>
  <si>
    <t>[004020]</t>
    <phoneticPr fontId="1" type="noConversion"/>
  </si>
  <si>
    <t>금호석유</t>
    <phoneticPr fontId="1" type="noConversion"/>
  </si>
  <si>
    <t>[011780]</t>
    <phoneticPr fontId="1" type="noConversion"/>
  </si>
  <si>
    <t>이마트</t>
    <phoneticPr fontId="1" type="noConversion"/>
  </si>
  <si>
    <t>[139480]</t>
    <phoneticPr fontId="1" type="noConversion"/>
  </si>
  <si>
    <t>한국타이어앤테크놀로지</t>
    <phoneticPr fontId="1" type="noConversion"/>
  </si>
  <si>
    <t>[161390]</t>
    <phoneticPr fontId="1" type="noConversion"/>
  </si>
  <si>
    <t>한국금융지주</t>
    <phoneticPr fontId="1" type="noConversion"/>
  </si>
  <si>
    <t>[071050]</t>
    <phoneticPr fontId="1" type="noConversion"/>
  </si>
  <si>
    <t>유한양행</t>
    <phoneticPr fontId="1" type="noConversion"/>
  </si>
  <si>
    <t>[000100]</t>
    <phoneticPr fontId="1" type="noConversion"/>
  </si>
  <si>
    <t>아모레G</t>
    <phoneticPr fontId="1" type="noConversion"/>
  </si>
  <si>
    <t>[002790]</t>
    <phoneticPr fontId="1" type="noConversion"/>
  </si>
  <si>
    <t>한미사이언스</t>
    <phoneticPr fontId="1" type="noConversion"/>
  </si>
  <si>
    <t>[008930]</t>
    <phoneticPr fontId="1" type="noConversion"/>
  </si>
  <si>
    <t>맥쿼리인프라</t>
    <phoneticPr fontId="1" type="noConversion"/>
  </si>
  <si>
    <t>[088980]</t>
    <phoneticPr fontId="1" type="noConversion"/>
  </si>
  <si>
    <t>CJ대한통운</t>
    <phoneticPr fontId="1" type="noConversion"/>
  </si>
  <si>
    <t>[000120]</t>
    <phoneticPr fontId="1" type="noConversion"/>
  </si>
  <si>
    <t>LG이노텍</t>
    <phoneticPr fontId="1" type="noConversion"/>
  </si>
  <si>
    <t>[011070]</t>
    <phoneticPr fontId="1" type="noConversion"/>
  </si>
  <si>
    <t>SK케미칼</t>
    <phoneticPr fontId="1" type="noConversion"/>
  </si>
  <si>
    <t>[285130]</t>
    <phoneticPr fontId="1" type="noConversion"/>
  </si>
  <si>
    <t>대한항공</t>
    <phoneticPr fontId="1" type="noConversion"/>
  </si>
  <si>
    <t>[003490]</t>
    <phoneticPr fontId="1" type="noConversion"/>
  </si>
  <si>
    <t>현대중공업지주</t>
    <phoneticPr fontId="1" type="noConversion"/>
  </si>
  <si>
    <t>[267250]</t>
    <phoneticPr fontId="1" type="noConversion"/>
  </si>
  <si>
    <t>현대건설</t>
    <phoneticPr fontId="1" type="noConversion"/>
  </si>
  <si>
    <t>[000720]</t>
    <phoneticPr fontId="1" type="noConversion"/>
  </si>
  <si>
    <t>두산중공업</t>
    <phoneticPr fontId="1" type="noConversion"/>
  </si>
  <si>
    <t>[034020]</t>
    <phoneticPr fontId="1" type="noConversion"/>
  </si>
  <si>
    <t>삼성카드</t>
    <phoneticPr fontId="1" type="noConversion"/>
  </si>
  <si>
    <t>[029780]</t>
    <phoneticPr fontId="1" type="noConversion"/>
  </si>
  <si>
    <t>DB손해보험</t>
    <phoneticPr fontId="1" type="noConversion"/>
  </si>
  <si>
    <t>[005830]</t>
    <phoneticPr fontId="1" type="noConversion"/>
  </si>
  <si>
    <t>삼성중공업</t>
    <phoneticPr fontId="1" type="noConversion"/>
  </si>
  <si>
    <t>[010140]</t>
    <phoneticPr fontId="1" type="noConversion"/>
  </si>
  <si>
    <t>GS</t>
    <phoneticPr fontId="1" type="noConversion"/>
  </si>
  <si>
    <t>[078930]</t>
    <phoneticPr fontId="1" type="noConversion"/>
  </si>
  <si>
    <t>한미약품</t>
    <phoneticPr fontId="1" type="noConversion"/>
  </si>
  <si>
    <t>[128940]</t>
    <phoneticPr fontId="1" type="noConversion"/>
  </si>
  <si>
    <t>에스원</t>
    <phoneticPr fontId="1" type="noConversion"/>
  </si>
  <si>
    <t>[012750]</t>
    <phoneticPr fontId="1" type="noConversion"/>
  </si>
  <si>
    <t>두산밥캣</t>
    <phoneticPr fontId="1" type="noConversion"/>
  </si>
  <si>
    <t>[241560]</t>
    <phoneticPr fontId="1" type="noConversion"/>
  </si>
  <si>
    <t>롯데지주</t>
    <phoneticPr fontId="1" type="noConversion"/>
  </si>
  <si>
    <t>[004990]</t>
    <phoneticPr fontId="1" type="noConversion"/>
  </si>
  <si>
    <t>더존비즈온</t>
    <phoneticPr fontId="1" type="noConversion"/>
  </si>
  <si>
    <t>[012510]</t>
    <phoneticPr fontId="1" type="noConversion"/>
  </si>
  <si>
    <t>녹십자</t>
    <phoneticPr fontId="1" type="noConversion"/>
  </si>
  <si>
    <t>[006280]</t>
    <phoneticPr fontId="1" type="noConversion"/>
  </si>
  <si>
    <t>현대차2우B</t>
    <phoneticPr fontId="1" type="noConversion"/>
  </si>
  <si>
    <t>[005387]</t>
    <phoneticPr fontId="1" type="noConversion"/>
  </si>
  <si>
    <t>삼성증권</t>
    <phoneticPr fontId="1" type="noConversion"/>
  </si>
  <si>
    <t>[016360]</t>
    <phoneticPr fontId="1" type="noConversion"/>
  </si>
  <si>
    <t>호텔신라</t>
    <phoneticPr fontId="1" type="noConversion"/>
  </si>
  <si>
    <t>[008770]</t>
    <phoneticPr fontId="1" type="noConversion"/>
  </si>
  <si>
    <t>동서</t>
    <phoneticPr fontId="1" type="noConversion"/>
  </si>
  <si>
    <t>[026960]</t>
    <phoneticPr fontId="1" type="noConversion"/>
  </si>
  <si>
    <t>한국가스공사</t>
    <phoneticPr fontId="1" type="noConversion"/>
  </si>
  <si>
    <t>[036460]</t>
    <phoneticPr fontId="1" type="noConversion"/>
  </si>
  <si>
    <t>[000210]</t>
    <phoneticPr fontId="1" type="noConversion"/>
  </si>
  <si>
    <t>쌍용양회</t>
    <phoneticPr fontId="1" type="noConversion"/>
  </si>
  <si>
    <t>[003410]</t>
    <phoneticPr fontId="1" type="noConversion"/>
  </si>
  <si>
    <t>NH투자증권</t>
    <phoneticPr fontId="1" type="noConversion"/>
  </si>
  <si>
    <t>[005940]</t>
    <phoneticPr fontId="1" type="noConversion"/>
  </si>
  <si>
    <t>SKC</t>
    <phoneticPr fontId="1" type="noConversion"/>
  </si>
  <si>
    <t>[011790]</t>
    <phoneticPr fontId="1" type="noConversion"/>
  </si>
  <si>
    <t>GS리테일</t>
    <phoneticPr fontId="1" type="noConversion"/>
  </si>
  <si>
    <t>[007070]</t>
    <phoneticPr fontId="1" type="noConversion"/>
  </si>
  <si>
    <t>휠라홀딩스</t>
    <phoneticPr fontId="1" type="noConversion"/>
  </si>
  <si>
    <t>[081660]</t>
    <phoneticPr fontId="1" type="noConversion"/>
  </si>
  <si>
    <t>HMM</t>
    <phoneticPr fontId="1" type="noConversion"/>
  </si>
  <si>
    <t>[011200]</t>
    <phoneticPr fontId="1" type="noConversion"/>
  </si>
  <si>
    <t>롯데쇼핑</t>
    <phoneticPr fontId="1" type="noConversion"/>
  </si>
  <si>
    <t>[023530]</t>
    <phoneticPr fontId="1" type="noConversion"/>
  </si>
  <si>
    <t>LG화학우</t>
    <phoneticPr fontId="1" type="noConversion"/>
  </si>
  <si>
    <t>[051915]</t>
    <phoneticPr fontId="1" type="noConversion"/>
  </si>
  <si>
    <t>두산퓨얼셀</t>
    <phoneticPr fontId="1" type="noConversion"/>
  </si>
  <si>
    <t>[336260]</t>
    <phoneticPr fontId="1" type="noConversion"/>
  </si>
  <si>
    <t>하이트진로</t>
    <phoneticPr fontId="1" type="noConversion"/>
  </si>
  <si>
    <t>[000080]</t>
    <phoneticPr fontId="1" type="noConversion"/>
  </si>
  <si>
    <t>대우조선해양</t>
    <phoneticPr fontId="1" type="noConversion"/>
  </si>
  <si>
    <t>[042660]</t>
    <phoneticPr fontId="1" type="noConversion"/>
  </si>
  <si>
    <t>제일기획</t>
    <phoneticPr fontId="1" type="noConversion"/>
  </si>
  <si>
    <t>[030000]</t>
    <phoneticPr fontId="1" type="noConversion"/>
  </si>
  <si>
    <t>한샘</t>
    <phoneticPr fontId="1" type="noConversion"/>
  </si>
  <si>
    <t>[009240]</t>
    <phoneticPr fontId="1" type="noConversion"/>
  </si>
  <si>
    <t>KODEX 200선물인버스2X</t>
    <phoneticPr fontId="1" type="noConversion"/>
  </si>
  <si>
    <t>[252670]</t>
    <phoneticPr fontId="1" type="noConversion"/>
  </si>
  <si>
    <t>TIGER 200</t>
    <phoneticPr fontId="1" type="noConversion"/>
  </si>
  <si>
    <t>[102110]</t>
    <phoneticPr fontId="1" type="noConversion"/>
  </si>
  <si>
    <t>키움증권</t>
    <phoneticPr fontId="1" type="noConversion"/>
  </si>
  <si>
    <t>[039490]</t>
    <phoneticPr fontId="1" type="noConversion"/>
  </si>
  <si>
    <t>CJ</t>
    <phoneticPr fontId="1" type="noConversion"/>
  </si>
  <si>
    <t>[001040]</t>
    <phoneticPr fontId="1" type="noConversion"/>
  </si>
  <si>
    <t>메리츠증권</t>
    <phoneticPr fontId="1" type="noConversion"/>
  </si>
  <si>
    <t>[008560]</t>
    <phoneticPr fontId="1" type="noConversion"/>
  </si>
  <si>
    <t>BGF리테일</t>
    <phoneticPr fontId="1" type="noConversion"/>
  </si>
  <si>
    <t>[282330]</t>
    <phoneticPr fontId="1" type="noConversion"/>
  </si>
  <si>
    <t>현대해상</t>
    <phoneticPr fontId="1" type="noConversion"/>
  </si>
  <si>
    <t>[001450]</t>
    <phoneticPr fontId="1" type="noConversion"/>
  </si>
  <si>
    <t>GS건설</t>
    <phoneticPr fontId="1" type="noConversion"/>
  </si>
  <si>
    <t>[006360]</t>
    <phoneticPr fontId="1" type="noConversion"/>
  </si>
  <si>
    <t>KODEX 레버리지</t>
    <phoneticPr fontId="1" type="noConversion"/>
  </si>
  <si>
    <t>[122630]</t>
    <phoneticPr fontId="1" type="noConversion"/>
  </si>
  <si>
    <t>한국항공우주</t>
    <phoneticPr fontId="1" type="noConversion"/>
  </si>
  <si>
    <t>[047810]</t>
    <phoneticPr fontId="1" type="noConversion"/>
  </si>
  <si>
    <t>신세계</t>
    <phoneticPr fontId="1" type="noConversion"/>
  </si>
  <si>
    <t>[004170]</t>
    <phoneticPr fontId="1" type="noConversion"/>
  </si>
  <si>
    <t>삼성엔지니어링</t>
    <phoneticPr fontId="1" type="noConversion"/>
  </si>
  <si>
    <t>[028050]</t>
    <phoneticPr fontId="1" type="noConversion"/>
  </si>
  <si>
    <t>오뚜기</t>
    <phoneticPr fontId="1" type="noConversion"/>
  </si>
  <si>
    <t>[007310]</t>
    <phoneticPr fontId="1" type="noConversion"/>
  </si>
  <si>
    <t>KODEX 단기채권</t>
    <phoneticPr fontId="1" type="noConversion"/>
  </si>
  <si>
    <t>[153130]</t>
    <phoneticPr fontId="1" type="noConversion"/>
  </si>
  <si>
    <t>팬오션</t>
    <phoneticPr fontId="1" type="noConversion"/>
  </si>
  <si>
    <t>[028670]</t>
    <phoneticPr fontId="1" type="noConversion"/>
  </si>
  <si>
    <t>한화</t>
    <phoneticPr fontId="1" type="noConversion"/>
  </si>
  <si>
    <t>[000880]</t>
    <phoneticPr fontId="1" type="noConversion"/>
  </si>
  <si>
    <t>현대차우</t>
    <phoneticPr fontId="1" type="noConversion"/>
  </si>
  <si>
    <t>[005385]</t>
    <phoneticPr fontId="1" type="noConversion"/>
  </si>
  <si>
    <t>BNK금융지주</t>
    <phoneticPr fontId="1" type="noConversion"/>
  </si>
  <si>
    <t>[138930]</t>
    <phoneticPr fontId="1" type="noConversion"/>
  </si>
  <si>
    <t>일진머티리얼즈</t>
    <phoneticPr fontId="1" type="noConversion"/>
  </si>
  <si>
    <t>[020150]</t>
    <phoneticPr fontId="1" type="noConversion"/>
  </si>
  <si>
    <t>두산인프라코어</t>
    <phoneticPr fontId="1" type="noConversion"/>
  </si>
  <si>
    <t>[042670]</t>
    <phoneticPr fontId="1" type="noConversion"/>
  </si>
  <si>
    <t>LS</t>
    <phoneticPr fontId="1" type="noConversion"/>
  </si>
  <si>
    <t>[006260]</t>
    <phoneticPr fontId="1" type="noConversion"/>
  </si>
  <si>
    <t>포스코인터내셔널</t>
    <phoneticPr fontId="1" type="noConversion"/>
  </si>
  <si>
    <t>[047050]</t>
    <phoneticPr fontId="1" type="noConversion"/>
  </si>
  <si>
    <t>농심</t>
    <phoneticPr fontId="1" type="noConversion"/>
  </si>
  <si>
    <t>[004370]</t>
    <phoneticPr fontId="1" type="noConversion"/>
  </si>
  <si>
    <t>종근당</t>
    <phoneticPr fontId="1" type="noConversion"/>
  </si>
  <si>
    <t>[185750]</t>
    <phoneticPr fontId="1" type="noConversion"/>
  </si>
  <si>
    <t>씨에스윈드</t>
    <phoneticPr fontId="1" type="noConversion"/>
  </si>
  <si>
    <t>[112610]</t>
    <phoneticPr fontId="1" type="noConversion"/>
  </si>
  <si>
    <t>메리츠화재</t>
    <phoneticPr fontId="1" type="noConversion"/>
  </si>
  <si>
    <t>[000060]</t>
    <phoneticPr fontId="1" type="noConversion"/>
  </si>
  <si>
    <t>현대로템</t>
    <phoneticPr fontId="1" type="noConversion"/>
  </si>
  <si>
    <t>[064350]</t>
    <phoneticPr fontId="1" type="noConversion"/>
  </si>
  <si>
    <t>한솔케미칼</t>
    <phoneticPr fontId="1" type="noConversion"/>
  </si>
  <si>
    <t>[014680]</t>
    <phoneticPr fontId="1" type="noConversion"/>
  </si>
  <si>
    <t>부광약품</t>
    <phoneticPr fontId="1" type="noConversion"/>
  </si>
  <si>
    <t>[003000]</t>
    <phoneticPr fontId="1" type="noConversion"/>
  </si>
  <si>
    <t>LS ELECTRIC</t>
    <phoneticPr fontId="1" type="noConversion"/>
  </si>
  <si>
    <t>[010120]</t>
    <phoneticPr fontId="1" type="noConversion"/>
  </si>
  <si>
    <t>효성</t>
    <phoneticPr fontId="1" type="noConversion"/>
  </si>
  <si>
    <t>[004800]</t>
    <phoneticPr fontId="1" type="noConversion"/>
  </si>
  <si>
    <t>만도</t>
    <phoneticPr fontId="1" type="noConversion"/>
  </si>
  <si>
    <t>[204320]</t>
    <phoneticPr fontId="1" type="noConversion"/>
  </si>
  <si>
    <t>현대엘리베이</t>
    <phoneticPr fontId="1" type="noConversion"/>
  </si>
  <si>
    <t>[017800]</t>
    <phoneticPr fontId="1" type="noConversion"/>
  </si>
  <si>
    <t>한올바이오파마</t>
    <phoneticPr fontId="1" type="noConversion"/>
  </si>
  <si>
    <t>[009420]</t>
    <phoneticPr fontId="1" type="noConversion"/>
  </si>
  <si>
    <t>현대백화점</t>
    <phoneticPr fontId="1" type="noConversion"/>
  </si>
  <si>
    <t>[069960]</t>
    <phoneticPr fontId="1" type="noConversion"/>
  </si>
  <si>
    <t>[000240]</t>
    <phoneticPr fontId="1" type="noConversion"/>
  </si>
  <si>
    <t>KODEX 삼성그룹</t>
    <phoneticPr fontId="1" type="noConversion"/>
  </si>
  <si>
    <t>[102780]</t>
    <phoneticPr fontId="1" type="noConversion"/>
  </si>
  <si>
    <t>F&amp;F</t>
    <phoneticPr fontId="1" type="noConversion"/>
  </si>
  <si>
    <t>[007700]</t>
    <phoneticPr fontId="1" type="noConversion"/>
  </si>
  <si>
    <t>OCI</t>
    <phoneticPr fontId="1" type="noConversion"/>
  </si>
  <si>
    <t>[010060]</t>
    <phoneticPr fontId="1" type="noConversion"/>
  </si>
  <si>
    <t>LG생활건강우</t>
    <phoneticPr fontId="1" type="noConversion"/>
  </si>
  <si>
    <t>[051905]</t>
    <phoneticPr fontId="1" type="noConversion"/>
  </si>
  <si>
    <t>한화생명</t>
    <phoneticPr fontId="1" type="noConversion"/>
  </si>
  <si>
    <t>[088350]</t>
    <phoneticPr fontId="1" type="noConversion"/>
  </si>
  <si>
    <t>DB하이텍</t>
    <phoneticPr fontId="1" type="noConversion"/>
  </si>
  <si>
    <t>[000990]</t>
    <phoneticPr fontId="1" type="noConversion"/>
  </si>
  <si>
    <t>KODEX 종합채권(AA-이상)액티브</t>
    <phoneticPr fontId="1" type="noConversion"/>
  </si>
  <si>
    <t>[273130]</t>
    <phoneticPr fontId="1" type="noConversion"/>
  </si>
  <si>
    <t>NHN</t>
    <phoneticPr fontId="1" type="noConversion"/>
  </si>
  <si>
    <t>[181710]</t>
    <phoneticPr fontId="1" type="noConversion"/>
  </si>
  <si>
    <t>대웅</t>
    <phoneticPr fontId="1" type="noConversion"/>
  </si>
  <si>
    <t>[003090]</t>
    <phoneticPr fontId="1" type="noConversion"/>
  </si>
  <si>
    <t>KCC</t>
    <phoneticPr fontId="1" type="noConversion"/>
  </si>
  <si>
    <t>[002380]</t>
    <phoneticPr fontId="1" type="noConversion"/>
  </si>
  <si>
    <t>일양약품</t>
    <phoneticPr fontId="1" type="noConversion"/>
  </si>
  <si>
    <t>[007570]</t>
    <phoneticPr fontId="1" type="noConversion"/>
  </si>
  <si>
    <t>영원무역</t>
    <phoneticPr fontId="1" type="noConversion"/>
  </si>
  <si>
    <t>[111770]</t>
    <phoneticPr fontId="1" type="noConversion"/>
  </si>
  <si>
    <t>현대오토에버</t>
    <phoneticPr fontId="1" type="noConversion"/>
  </si>
  <si>
    <t>[307950]</t>
    <phoneticPr fontId="1" type="noConversion"/>
  </si>
  <si>
    <t>영진약품</t>
    <phoneticPr fontId="1" type="noConversion"/>
  </si>
  <si>
    <t>[003520]</t>
    <phoneticPr fontId="1" type="noConversion"/>
  </si>
  <si>
    <t>한화에어로스페이스</t>
    <phoneticPr fontId="1" type="noConversion"/>
  </si>
  <si>
    <t>[012450]</t>
    <phoneticPr fontId="1" type="noConversion"/>
  </si>
  <si>
    <t>HDC현대산업개발</t>
    <phoneticPr fontId="1" type="noConversion"/>
  </si>
  <si>
    <t>[294870]</t>
    <phoneticPr fontId="1" type="noConversion"/>
  </si>
  <si>
    <t>메리츠금융지주</t>
    <phoneticPr fontId="1" type="noConversion"/>
  </si>
  <si>
    <t>[138040]</t>
    <phoneticPr fontId="1" type="noConversion"/>
  </si>
  <si>
    <t>롯데정밀화학</t>
    <phoneticPr fontId="1" type="noConversion"/>
  </si>
  <si>
    <t>[004000]</t>
    <phoneticPr fontId="1" type="noConversion"/>
  </si>
  <si>
    <t>대우건설</t>
    <phoneticPr fontId="1" type="noConversion"/>
  </si>
  <si>
    <t>[047040]</t>
    <phoneticPr fontId="1" type="noConversion"/>
  </si>
  <si>
    <t>한전KPS</t>
    <phoneticPr fontId="1" type="noConversion"/>
  </si>
  <si>
    <t>[051600]</t>
    <phoneticPr fontId="1" type="noConversion"/>
  </si>
  <si>
    <t>대한유화</t>
    <phoneticPr fontId="1" type="noConversion"/>
  </si>
  <si>
    <t>[006650]</t>
    <phoneticPr fontId="1" type="noConversion"/>
  </si>
  <si>
    <t>더블유게임즈</t>
    <phoneticPr fontId="1" type="noConversion"/>
  </si>
  <si>
    <t>[192080]</t>
    <phoneticPr fontId="1" type="noConversion"/>
  </si>
  <si>
    <t>아이에스동서</t>
    <phoneticPr fontId="1" type="noConversion"/>
  </si>
  <si>
    <t>[010780]</t>
    <phoneticPr fontId="1" type="noConversion"/>
  </si>
  <si>
    <t>코스맥스</t>
    <phoneticPr fontId="1" type="noConversion"/>
  </si>
  <si>
    <t>[192820]</t>
    <phoneticPr fontId="1" type="noConversion"/>
  </si>
  <si>
    <t>한화시스템</t>
    <phoneticPr fontId="1" type="noConversion"/>
  </si>
  <si>
    <t>[272210]</t>
    <phoneticPr fontId="1" type="noConversion"/>
  </si>
  <si>
    <t>TIGER 단기통안채</t>
    <phoneticPr fontId="1" type="noConversion"/>
  </si>
  <si>
    <t>[157450]</t>
    <phoneticPr fontId="1" type="noConversion"/>
  </si>
  <si>
    <t>SK디스커버리</t>
    <phoneticPr fontId="1" type="noConversion"/>
  </si>
  <si>
    <t>[006120]</t>
    <phoneticPr fontId="1" type="noConversion"/>
  </si>
  <si>
    <t>지누스</t>
    <phoneticPr fontId="1" type="noConversion"/>
  </si>
  <si>
    <t>[013890]</t>
    <phoneticPr fontId="1" type="noConversion"/>
  </si>
  <si>
    <t>KODEX 인버스</t>
    <phoneticPr fontId="1" type="noConversion"/>
  </si>
  <si>
    <t>[114800]</t>
    <phoneticPr fontId="1" type="noConversion"/>
  </si>
  <si>
    <t>대웅제약</t>
    <phoneticPr fontId="1" type="noConversion"/>
  </si>
  <si>
    <t>[069620]</t>
    <phoneticPr fontId="1" type="noConversion"/>
  </si>
  <si>
    <t>KODEX 200TR</t>
    <phoneticPr fontId="1" type="noConversion"/>
  </si>
  <si>
    <t>[278530]</t>
    <phoneticPr fontId="1" type="noConversion"/>
  </si>
  <si>
    <t>파미셀</t>
    <phoneticPr fontId="1" type="noConversion"/>
  </si>
  <si>
    <t>[005690]</t>
    <phoneticPr fontId="1" type="noConversion"/>
  </si>
  <si>
    <t>SK네트웍스</t>
    <phoneticPr fontId="1" type="noConversion"/>
  </si>
  <si>
    <t>[001740]</t>
    <phoneticPr fontId="1" type="noConversion"/>
  </si>
  <si>
    <t>이노션</t>
    <phoneticPr fontId="1" type="noConversion"/>
  </si>
  <si>
    <t>[214320]</t>
    <phoneticPr fontId="1" type="noConversion"/>
  </si>
  <si>
    <t>DGB금융지주</t>
    <phoneticPr fontId="1" type="noConversion"/>
  </si>
  <si>
    <t>[139130]</t>
    <phoneticPr fontId="1" type="noConversion"/>
  </si>
  <si>
    <t>현대위아</t>
    <phoneticPr fontId="1" type="noConversion"/>
  </si>
  <si>
    <t>[011210]</t>
    <phoneticPr fontId="1" type="noConversion"/>
  </si>
  <si>
    <t>녹십자홀딩스</t>
    <phoneticPr fontId="1" type="noConversion"/>
  </si>
  <si>
    <t>[005250]</t>
    <phoneticPr fontId="1" type="noConversion"/>
  </si>
  <si>
    <t>현대미포조선</t>
    <phoneticPr fontId="1" type="noConversion"/>
  </si>
  <si>
    <t>[010620]</t>
    <phoneticPr fontId="1" type="noConversion"/>
  </si>
  <si>
    <t>한국콜마</t>
    <phoneticPr fontId="1" type="noConversion"/>
  </si>
  <si>
    <t>[161890]</t>
    <phoneticPr fontId="1" type="noConversion"/>
  </si>
  <si>
    <t>신세계인터내셔날</t>
    <phoneticPr fontId="1" type="noConversion"/>
  </si>
  <si>
    <t>[031430]</t>
    <phoneticPr fontId="1" type="noConversion"/>
  </si>
  <si>
    <t>롯데관광개발</t>
    <phoneticPr fontId="1" type="noConversion"/>
  </si>
  <si>
    <t>[032350]</t>
    <phoneticPr fontId="1" type="noConversion"/>
  </si>
  <si>
    <t>금호타이어</t>
    <phoneticPr fontId="1" type="noConversion"/>
  </si>
  <si>
    <t>[073240]</t>
    <phoneticPr fontId="1" type="noConversion"/>
  </si>
  <si>
    <t>[336370]</t>
    <phoneticPr fontId="1" type="noConversion"/>
  </si>
  <si>
    <t>SK가스</t>
    <phoneticPr fontId="1" type="noConversion"/>
  </si>
  <si>
    <t>[018670]</t>
    <phoneticPr fontId="1" type="noConversion"/>
  </si>
  <si>
    <t>JB금융지주</t>
    <phoneticPr fontId="1" type="noConversion"/>
  </si>
  <si>
    <t>[175330]</t>
    <phoneticPr fontId="1" type="noConversion"/>
  </si>
  <si>
    <t>코오롱인더</t>
    <phoneticPr fontId="1" type="noConversion"/>
  </si>
  <si>
    <t>[120110]</t>
    <phoneticPr fontId="1" type="noConversion"/>
  </si>
  <si>
    <t>KODEX 코스닥150 레버리지</t>
    <phoneticPr fontId="1" type="noConversion"/>
  </si>
  <si>
    <t>[233740]</t>
    <phoneticPr fontId="1" type="noConversion"/>
  </si>
  <si>
    <t>휴켐스</t>
    <phoneticPr fontId="1" type="noConversion"/>
  </si>
  <si>
    <t>[069260]</t>
    <phoneticPr fontId="1" type="noConversion"/>
  </si>
  <si>
    <t>KODEX 단기채권PLUS</t>
    <phoneticPr fontId="1" type="noConversion"/>
  </si>
  <si>
    <t>[214980]</t>
    <phoneticPr fontId="1" type="noConversion"/>
  </si>
  <si>
    <t>코리안리</t>
    <phoneticPr fontId="1" type="noConversion"/>
  </si>
  <si>
    <t>[003690]</t>
    <phoneticPr fontId="1" type="noConversion"/>
  </si>
  <si>
    <t>영풍</t>
    <phoneticPr fontId="1" type="noConversion"/>
  </si>
  <si>
    <t>[000670]</t>
    <phoneticPr fontId="1" type="noConversion"/>
  </si>
  <si>
    <t>KBSTAR 200</t>
    <phoneticPr fontId="1" type="noConversion"/>
  </si>
  <si>
    <t>[148020]</t>
    <phoneticPr fontId="1" type="noConversion"/>
  </si>
  <si>
    <t>롯데리츠</t>
    <phoneticPr fontId="1" type="noConversion"/>
  </si>
  <si>
    <t>[330590]</t>
    <phoneticPr fontId="1" type="noConversion"/>
  </si>
  <si>
    <t>현대홈쇼핑</t>
    <phoneticPr fontId="1" type="noConversion"/>
  </si>
  <si>
    <t>[057050]</t>
    <phoneticPr fontId="1" type="noConversion"/>
  </si>
  <si>
    <t>쿠쿠홈시스</t>
    <phoneticPr fontId="1" type="noConversion"/>
  </si>
  <si>
    <t>[284740]</t>
    <phoneticPr fontId="1" type="noConversion"/>
  </si>
  <si>
    <t>다우기술</t>
    <phoneticPr fontId="1" type="noConversion"/>
  </si>
  <si>
    <t>[023590]</t>
    <phoneticPr fontId="1" type="noConversion"/>
  </si>
  <si>
    <t>화승엔터프라이즈</t>
    <phoneticPr fontId="1" type="noConversion"/>
  </si>
  <si>
    <t>[241590]</t>
    <phoneticPr fontId="1" type="noConversion"/>
  </si>
  <si>
    <t>대상</t>
    <phoneticPr fontId="1" type="noConversion"/>
  </si>
  <si>
    <t>[001680]</t>
    <phoneticPr fontId="1" type="noConversion"/>
  </si>
  <si>
    <t>티와이홀딩스</t>
    <phoneticPr fontId="1" type="noConversion"/>
  </si>
  <si>
    <t>[363280]</t>
    <phoneticPr fontId="1" type="noConversion"/>
  </si>
  <si>
    <t>제이알글로벌리츠</t>
    <phoneticPr fontId="1" type="noConversion"/>
  </si>
  <si>
    <t>[348950]</t>
    <phoneticPr fontId="1" type="noConversion"/>
  </si>
  <si>
    <t>SK디앤디</t>
    <phoneticPr fontId="1" type="noConversion"/>
  </si>
  <si>
    <t>[210980]</t>
    <phoneticPr fontId="1" type="noConversion"/>
  </si>
  <si>
    <t>아시아나항공</t>
    <phoneticPr fontId="1" type="noConversion"/>
  </si>
  <si>
    <t>[020560]</t>
    <phoneticPr fontId="1" type="noConversion"/>
  </si>
  <si>
    <t>후성</t>
    <phoneticPr fontId="1" type="noConversion"/>
  </si>
  <si>
    <t>[093370]</t>
    <phoneticPr fontId="1" type="noConversion"/>
  </si>
  <si>
    <t>오리온홀딩스</t>
    <phoneticPr fontId="1" type="noConversion"/>
  </si>
  <si>
    <t>[001800]</t>
    <phoneticPr fontId="1" type="noConversion"/>
  </si>
  <si>
    <t>KG동부제철</t>
    <phoneticPr fontId="1" type="noConversion"/>
  </si>
  <si>
    <t>[016380]</t>
    <phoneticPr fontId="1" type="noConversion"/>
  </si>
  <si>
    <t>한세실업</t>
    <phoneticPr fontId="1" type="noConversion"/>
  </si>
  <si>
    <t>[105630]</t>
    <phoneticPr fontId="1" type="noConversion"/>
  </si>
  <si>
    <t>유나이티드제약</t>
    <phoneticPr fontId="1" type="noConversion"/>
  </si>
  <si>
    <t>[033270]</t>
    <phoneticPr fontId="1" type="noConversion"/>
  </si>
  <si>
    <t>GKL</t>
    <phoneticPr fontId="1" type="noConversion"/>
  </si>
  <si>
    <t>[114090]</t>
    <phoneticPr fontId="1" type="noConversion"/>
  </si>
  <si>
    <t>[033660]</t>
    <phoneticPr fontId="1" type="noConversion"/>
  </si>
  <si>
    <t>두산</t>
    <phoneticPr fontId="1" type="noConversion"/>
  </si>
  <si>
    <t>[000150]</t>
    <phoneticPr fontId="1" type="noConversion"/>
  </si>
  <si>
    <t>드림텍</t>
    <phoneticPr fontId="1" type="noConversion"/>
  </si>
  <si>
    <t>[192650]</t>
    <phoneticPr fontId="1" type="noConversion"/>
  </si>
  <si>
    <t>KODEX MSCI Korea TR</t>
    <phoneticPr fontId="1" type="noConversion"/>
  </si>
  <si>
    <t>[278540]</t>
    <phoneticPr fontId="1" type="noConversion"/>
  </si>
  <si>
    <t>[064960]</t>
    <phoneticPr fontId="1" type="noConversion"/>
  </si>
  <si>
    <t>대한전선</t>
    <phoneticPr fontId="1" type="noConversion"/>
  </si>
  <si>
    <t>[001440]</t>
    <phoneticPr fontId="1" type="noConversion"/>
  </si>
  <si>
    <t>동원산업</t>
    <phoneticPr fontId="1" type="noConversion"/>
  </si>
  <si>
    <t>[006040]</t>
    <phoneticPr fontId="1" type="noConversion"/>
  </si>
  <si>
    <t>롯데하이마트</t>
    <phoneticPr fontId="1" type="noConversion"/>
  </si>
  <si>
    <t>[071840]</t>
    <phoneticPr fontId="1" type="noConversion"/>
  </si>
  <si>
    <t>동아에스티</t>
    <phoneticPr fontId="1" type="noConversion"/>
  </si>
  <si>
    <t>[170900]</t>
    <phoneticPr fontId="1" type="noConversion"/>
  </si>
  <si>
    <t>태광산업</t>
    <phoneticPr fontId="1" type="noConversion"/>
  </si>
  <si>
    <t>[003240]</t>
    <phoneticPr fontId="1" type="noConversion"/>
  </si>
  <si>
    <t>풍산</t>
    <phoneticPr fontId="1" type="noConversion"/>
  </si>
  <si>
    <t>[103140]</t>
    <phoneticPr fontId="1" type="noConversion"/>
  </si>
  <si>
    <t>현대그린푸드</t>
    <phoneticPr fontId="1" type="noConversion"/>
  </si>
  <si>
    <t>[005440]</t>
    <phoneticPr fontId="1" type="noConversion"/>
  </si>
  <si>
    <t>삼양식품</t>
    <phoneticPr fontId="1" type="noConversion"/>
  </si>
  <si>
    <t>[003230]</t>
    <phoneticPr fontId="1" type="noConversion"/>
  </si>
  <si>
    <t>한섬</t>
    <phoneticPr fontId="1" type="noConversion"/>
  </si>
  <si>
    <t>[020000]</t>
    <phoneticPr fontId="1" type="noConversion"/>
  </si>
  <si>
    <t>에스엘</t>
    <phoneticPr fontId="1" type="noConversion"/>
  </si>
  <si>
    <t>[005850]</t>
    <phoneticPr fontId="1" type="noConversion"/>
  </si>
  <si>
    <t>동아쏘시오홀딩스</t>
    <phoneticPr fontId="1" type="noConversion"/>
  </si>
  <si>
    <t>[000640]</t>
    <phoneticPr fontId="1" type="noConversion"/>
  </si>
  <si>
    <t>CJ CGV</t>
    <phoneticPr fontId="1" type="noConversion"/>
  </si>
  <si>
    <t>[079160]</t>
    <phoneticPr fontId="1" type="noConversion"/>
  </si>
  <si>
    <t>ARIRANG 200</t>
    <phoneticPr fontId="1" type="noConversion"/>
  </si>
  <si>
    <t>[152100]</t>
    <phoneticPr fontId="1" type="noConversion"/>
  </si>
  <si>
    <t>미래에셋생명</t>
    <phoneticPr fontId="1" type="noConversion"/>
  </si>
  <si>
    <t>[085620]</t>
    <phoneticPr fontId="1" type="noConversion"/>
  </si>
  <si>
    <t>보령제약</t>
    <phoneticPr fontId="1" type="noConversion"/>
  </si>
  <si>
    <t>[003850]</t>
    <phoneticPr fontId="1" type="noConversion"/>
  </si>
  <si>
    <t>롯데칠성</t>
    <phoneticPr fontId="1" type="noConversion"/>
  </si>
  <si>
    <t>[005300]</t>
    <phoneticPr fontId="1" type="noConversion"/>
  </si>
  <si>
    <t>대신증권</t>
    <phoneticPr fontId="1" type="noConversion"/>
  </si>
  <si>
    <t>[003540]</t>
    <phoneticPr fontId="1" type="noConversion"/>
  </si>
  <si>
    <t>쿠쿠홀딩스</t>
    <phoneticPr fontId="1" type="noConversion"/>
  </si>
  <si>
    <t>[192400]</t>
    <phoneticPr fontId="1" type="noConversion"/>
  </si>
  <si>
    <t>경동나비엔</t>
    <phoneticPr fontId="1" type="noConversion"/>
  </si>
  <si>
    <t>[009450]</t>
    <phoneticPr fontId="1" type="noConversion"/>
  </si>
  <si>
    <t>NICE</t>
    <phoneticPr fontId="1" type="noConversion"/>
  </si>
  <si>
    <t>[034310]</t>
    <phoneticPr fontId="1" type="noConversion"/>
  </si>
  <si>
    <t>KINDEX 200</t>
    <phoneticPr fontId="1" type="noConversion"/>
  </si>
  <si>
    <t>[105190]</t>
    <phoneticPr fontId="1" type="noConversion"/>
  </si>
  <si>
    <t>JW중외제약</t>
    <phoneticPr fontId="1" type="noConversion"/>
  </si>
  <si>
    <t>[001060]</t>
    <phoneticPr fontId="1" type="noConversion"/>
  </si>
  <si>
    <t>제일약품</t>
    <phoneticPr fontId="1" type="noConversion"/>
  </si>
  <si>
    <t>[271980]</t>
    <phoneticPr fontId="1" type="noConversion"/>
  </si>
  <si>
    <t>동원F&amp;B</t>
    <phoneticPr fontId="1" type="noConversion"/>
  </si>
  <si>
    <t>[049770]</t>
    <phoneticPr fontId="1" type="noConversion"/>
  </si>
  <si>
    <t>LIG넥스원</t>
    <phoneticPr fontId="1" type="noConversion"/>
  </si>
  <si>
    <t>[079550]</t>
    <phoneticPr fontId="1" type="noConversion"/>
  </si>
  <si>
    <t>효성티앤씨</t>
    <phoneticPr fontId="1" type="noConversion"/>
  </si>
  <si>
    <t>[298020]</t>
    <phoneticPr fontId="1" type="noConversion"/>
  </si>
  <si>
    <t>미래에셋대우2우B</t>
    <phoneticPr fontId="1" type="noConversion"/>
  </si>
  <si>
    <t>[00680K]</t>
    <phoneticPr fontId="1" type="noConversion"/>
  </si>
  <si>
    <t>롯데제과</t>
    <phoneticPr fontId="1" type="noConversion"/>
  </si>
  <si>
    <t>[280360]</t>
    <phoneticPr fontId="1" type="noConversion"/>
  </si>
  <si>
    <t>동국제강</t>
    <phoneticPr fontId="1" type="noConversion"/>
  </si>
  <si>
    <t>[001230]</t>
    <phoneticPr fontId="1" type="noConversion"/>
  </si>
  <si>
    <t>한전기술</t>
    <phoneticPr fontId="1" type="noConversion"/>
  </si>
  <si>
    <t>[052690]</t>
    <phoneticPr fontId="1" type="noConversion"/>
  </si>
  <si>
    <t>한진</t>
    <phoneticPr fontId="1" type="noConversion"/>
  </si>
  <si>
    <t>[002320]</t>
    <phoneticPr fontId="1" type="noConversion"/>
  </si>
  <si>
    <t>HDC</t>
    <phoneticPr fontId="1" type="noConversion"/>
  </si>
  <si>
    <t>[012630]</t>
    <phoneticPr fontId="1" type="noConversion"/>
  </si>
  <si>
    <t>KOSEF 200</t>
    <phoneticPr fontId="1" type="noConversion"/>
  </si>
  <si>
    <t>[069660]</t>
    <phoneticPr fontId="1" type="noConversion"/>
  </si>
  <si>
    <t>LG상사</t>
    <phoneticPr fontId="1" type="noConversion"/>
  </si>
  <si>
    <t>[001120]</t>
    <phoneticPr fontId="1" type="noConversion"/>
  </si>
  <si>
    <t>풀무원</t>
    <phoneticPr fontId="1" type="noConversion"/>
  </si>
  <si>
    <t>[017810]</t>
    <phoneticPr fontId="1" type="noConversion"/>
  </si>
  <si>
    <t>LG하우시스</t>
    <phoneticPr fontId="1" type="noConversion"/>
  </si>
  <si>
    <t>[108670]</t>
    <phoneticPr fontId="1" type="noConversion"/>
  </si>
  <si>
    <t>SPC삼립</t>
    <phoneticPr fontId="1" type="noConversion"/>
  </si>
  <si>
    <t>[005610]</t>
    <phoneticPr fontId="1" type="noConversion"/>
  </si>
  <si>
    <t>아모레퍼시픽우</t>
    <phoneticPr fontId="1" type="noConversion"/>
  </si>
  <si>
    <t>[090435]</t>
    <phoneticPr fontId="1" type="noConversion"/>
  </si>
  <si>
    <t>애경산업</t>
    <phoneticPr fontId="1" type="noConversion"/>
  </si>
  <si>
    <t>[018250]</t>
    <phoneticPr fontId="1" type="noConversion"/>
  </si>
  <si>
    <t>TIGER MSCI Korea TR</t>
    <phoneticPr fontId="1" type="noConversion"/>
  </si>
  <si>
    <t>[310970]</t>
    <phoneticPr fontId="1" type="noConversion"/>
  </si>
  <si>
    <t>신성이엔지</t>
    <phoneticPr fontId="1" type="noConversion"/>
  </si>
  <si>
    <t>[011930]</t>
    <phoneticPr fontId="1" type="noConversion"/>
  </si>
  <si>
    <t>동원시스템즈</t>
    <phoneticPr fontId="1" type="noConversion"/>
  </si>
  <si>
    <t>[014820]</t>
    <phoneticPr fontId="1" type="noConversion"/>
  </si>
  <si>
    <t>효성첨단소재</t>
    <phoneticPr fontId="1" type="noConversion"/>
  </si>
  <si>
    <t>[298050]</t>
    <phoneticPr fontId="1" type="noConversion"/>
  </si>
  <si>
    <t>현대건설기계</t>
    <phoneticPr fontId="1" type="noConversion"/>
  </si>
  <si>
    <t>[267270]</t>
    <phoneticPr fontId="1" type="noConversion"/>
  </si>
  <si>
    <t>한일시멘트</t>
    <phoneticPr fontId="1" type="noConversion"/>
  </si>
  <si>
    <t>[300720]</t>
    <phoneticPr fontId="1" type="noConversion"/>
  </si>
  <si>
    <t>하나투어</t>
    <phoneticPr fontId="1" type="noConversion"/>
  </si>
  <si>
    <t>[039130]</t>
    <phoneticPr fontId="1" type="noConversion"/>
  </si>
  <si>
    <t>LG전자우</t>
    <phoneticPr fontId="1" type="noConversion"/>
  </si>
  <si>
    <t>[066575]</t>
    <phoneticPr fontId="1" type="noConversion"/>
  </si>
  <si>
    <t>효성중공업</t>
    <phoneticPr fontId="1" type="noConversion"/>
  </si>
  <si>
    <t>[298040]</t>
    <phoneticPr fontId="1" type="noConversion"/>
  </si>
  <si>
    <t>부산가스</t>
    <phoneticPr fontId="1" type="noConversion"/>
  </si>
  <si>
    <t>[015350]</t>
    <phoneticPr fontId="1" type="noConversion"/>
  </si>
  <si>
    <t>동양생명</t>
    <phoneticPr fontId="1" type="noConversion"/>
  </si>
  <si>
    <t>[082640]</t>
    <phoneticPr fontId="1" type="noConversion"/>
  </si>
  <si>
    <t>롯데정보통신</t>
    <phoneticPr fontId="1" type="noConversion"/>
  </si>
  <si>
    <t>[286940]</t>
    <phoneticPr fontId="1" type="noConversion"/>
  </si>
  <si>
    <t>삼화콘덴서</t>
    <phoneticPr fontId="1" type="noConversion"/>
  </si>
  <si>
    <t>[001820]</t>
    <phoneticPr fontId="1" type="noConversion"/>
  </si>
  <si>
    <t>한미반도체</t>
    <phoneticPr fontId="1" type="noConversion"/>
  </si>
  <si>
    <t>[042700]</t>
    <phoneticPr fontId="1" type="noConversion"/>
  </si>
  <si>
    <t>넥센타이어</t>
    <phoneticPr fontId="1" type="noConversion"/>
  </si>
  <si>
    <t>[002350]</t>
    <phoneticPr fontId="1" type="noConversion"/>
  </si>
  <si>
    <t>삼양홀딩스</t>
    <phoneticPr fontId="1" type="noConversion"/>
  </si>
  <si>
    <t>[000070]</t>
    <phoneticPr fontId="1" type="noConversion"/>
  </si>
  <si>
    <t>제주항공</t>
    <phoneticPr fontId="1" type="noConversion"/>
  </si>
  <si>
    <t>[089590]</t>
    <phoneticPr fontId="1" type="noConversion"/>
  </si>
  <si>
    <t>대림건설</t>
    <phoneticPr fontId="1" type="noConversion"/>
  </si>
  <si>
    <t>[001880]</t>
    <phoneticPr fontId="1" type="noConversion"/>
  </si>
  <si>
    <t>현대일렉트릭</t>
    <phoneticPr fontId="1" type="noConversion"/>
  </si>
  <si>
    <t>[267260]</t>
    <phoneticPr fontId="1" type="noConversion"/>
  </si>
  <si>
    <t>삼양사</t>
    <phoneticPr fontId="1" type="noConversion"/>
  </si>
  <si>
    <t>[145990]</t>
    <phoneticPr fontId="1" type="noConversion"/>
  </si>
  <si>
    <t>TIGER 미국나스닥100</t>
    <phoneticPr fontId="1" type="noConversion"/>
  </si>
  <si>
    <t>[133690]</t>
    <phoneticPr fontId="1" type="noConversion"/>
  </si>
  <si>
    <t>한국단자</t>
    <phoneticPr fontId="1" type="noConversion"/>
  </si>
  <si>
    <t>[025540]</t>
    <phoneticPr fontId="1" type="noConversion"/>
  </si>
  <si>
    <t>코스피 (시가총액 상위 300종목)</t>
    <phoneticPr fontId="1" type="noConversion"/>
  </si>
  <si>
    <t>코스닥 (시가총액 상위 300종목)</t>
    <phoneticPr fontId="1" type="noConversion"/>
  </si>
  <si>
    <t>[091990]</t>
    <phoneticPr fontId="1" type="noConversion"/>
  </si>
  <si>
    <t>[096530]</t>
    <phoneticPr fontId="1" type="noConversion"/>
  </si>
  <si>
    <t>[028300]</t>
    <phoneticPr fontId="1" type="noConversion"/>
  </si>
  <si>
    <t>[196170]</t>
    <phoneticPr fontId="1" type="noConversion"/>
  </si>
  <si>
    <t>[068760]</t>
    <phoneticPr fontId="1" type="noConversion"/>
  </si>
  <si>
    <t>[293490]</t>
    <phoneticPr fontId="1" type="noConversion"/>
  </si>
  <si>
    <t>[035760]</t>
    <phoneticPr fontId="1" type="noConversion"/>
  </si>
  <si>
    <t>[095700]</t>
    <phoneticPr fontId="1" type="noConversion"/>
  </si>
  <si>
    <t>[145020]</t>
    <phoneticPr fontId="1" type="noConversion"/>
  </si>
  <si>
    <t>[032500]</t>
    <phoneticPr fontId="1" type="noConversion"/>
  </si>
  <si>
    <t>[263750]</t>
    <phoneticPr fontId="1" type="noConversion"/>
  </si>
  <si>
    <t>[247540]</t>
    <phoneticPr fontId="1" type="noConversion"/>
  </si>
  <si>
    <t>[036490]</t>
    <phoneticPr fontId="1" type="noConversion"/>
  </si>
  <si>
    <t>[253450]</t>
    <phoneticPr fontId="1" type="noConversion"/>
  </si>
  <si>
    <t>[235980]</t>
    <phoneticPr fontId="1" type="noConversion"/>
  </si>
  <si>
    <t>[357780]</t>
    <phoneticPr fontId="1" type="noConversion"/>
  </si>
  <si>
    <t>[200130]</t>
    <phoneticPr fontId="1" type="noConversion"/>
  </si>
  <si>
    <t>[058470]</t>
    <phoneticPr fontId="1" type="noConversion"/>
  </si>
  <si>
    <t>[268600]</t>
    <phoneticPr fontId="1" type="noConversion"/>
  </si>
  <si>
    <t>[240810]</t>
    <phoneticPr fontId="1" type="noConversion"/>
  </si>
  <si>
    <t>[060250]</t>
    <phoneticPr fontId="1" type="noConversion"/>
  </si>
  <si>
    <t>[140410]</t>
    <phoneticPr fontId="1" type="noConversion"/>
  </si>
  <si>
    <t>[078340]</t>
    <phoneticPr fontId="1" type="noConversion"/>
  </si>
  <si>
    <t>[278280]</t>
    <phoneticPr fontId="1" type="noConversion"/>
  </si>
  <si>
    <t>[056190]</t>
    <phoneticPr fontId="1" type="noConversion"/>
  </si>
  <si>
    <t>[005290]</t>
    <phoneticPr fontId="1" type="noConversion"/>
  </si>
  <si>
    <t>[141080]</t>
    <phoneticPr fontId="1" type="noConversion"/>
  </si>
  <si>
    <t>삼천당제약</t>
    <phoneticPr fontId="1" type="noConversion"/>
  </si>
  <si>
    <t>[000250]</t>
    <phoneticPr fontId="1" type="noConversion"/>
  </si>
  <si>
    <t>오스코텍</t>
    <phoneticPr fontId="1" type="noConversion"/>
  </si>
  <si>
    <t>[039200]</t>
    <phoneticPr fontId="1" type="noConversion"/>
  </si>
  <si>
    <t>에이치엘비생명과학</t>
    <phoneticPr fontId="1" type="noConversion"/>
  </si>
  <si>
    <t>[067630]</t>
    <phoneticPr fontId="1" type="noConversion"/>
  </si>
  <si>
    <t>파라다이스</t>
    <phoneticPr fontId="1" type="noConversion"/>
  </si>
  <si>
    <t>[034230]</t>
    <phoneticPr fontId="1" type="noConversion"/>
  </si>
  <si>
    <t>아이티엠반도체</t>
    <phoneticPr fontId="1" type="noConversion"/>
  </si>
  <si>
    <t>[084850]</t>
    <phoneticPr fontId="1" type="noConversion"/>
  </si>
  <si>
    <t>NICE평가정보</t>
    <phoneticPr fontId="1" type="noConversion"/>
  </si>
  <si>
    <t>[030190]</t>
    <phoneticPr fontId="1" type="noConversion"/>
  </si>
  <si>
    <t>에이비엘바이오</t>
    <phoneticPr fontId="1" type="noConversion"/>
  </si>
  <si>
    <t>[298380]</t>
    <phoneticPr fontId="1" type="noConversion"/>
  </si>
  <si>
    <t>에스티팜</t>
    <phoneticPr fontId="1" type="noConversion"/>
  </si>
  <si>
    <t>[237690]</t>
    <phoneticPr fontId="1" type="noConversion"/>
  </si>
  <si>
    <t>웹젠</t>
    <phoneticPr fontId="1" type="noConversion"/>
  </si>
  <si>
    <t>[069080]</t>
    <phoneticPr fontId="1" type="noConversion"/>
  </si>
  <si>
    <t>JYP Ent.</t>
    <phoneticPr fontId="1" type="noConversion"/>
  </si>
  <si>
    <t>[035900]</t>
    <phoneticPr fontId="1" type="noConversion"/>
  </si>
  <si>
    <t>고영</t>
    <phoneticPr fontId="1" type="noConversion"/>
  </si>
  <si>
    <t>[098460]</t>
    <phoneticPr fontId="1" type="noConversion"/>
  </si>
  <si>
    <t>동국제약</t>
    <phoneticPr fontId="1" type="noConversion"/>
  </si>
  <si>
    <t>[086450]</t>
    <phoneticPr fontId="1" type="noConversion"/>
  </si>
  <si>
    <t>엘앤에프</t>
    <phoneticPr fontId="1" type="noConversion"/>
  </si>
  <si>
    <t>[066970]</t>
    <phoneticPr fontId="1" type="noConversion"/>
  </si>
  <si>
    <t>티씨케이</t>
    <phoneticPr fontId="1" type="noConversion"/>
  </si>
  <si>
    <t>[064760]</t>
    <phoneticPr fontId="1" type="noConversion"/>
  </si>
  <si>
    <t>이오테크닉스</t>
    <phoneticPr fontId="1" type="noConversion"/>
  </si>
  <si>
    <t>[039030]</t>
    <phoneticPr fontId="1" type="noConversion"/>
  </si>
  <si>
    <t>메디톡스</t>
    <phoneticPr fontId="1" type="noConversion"/>
  </si>
  <si>
    <t>[086900]</t>
    <phoneticPr fontId="1" type="noConversion"/>
  </si>
  <si>
    <t>포스코 ICT</t>
    <phoneticPr fontId="1" type="noConversion"/>
  </si>
  <si>
    <t>[022100]</t>
    <phoneticPr fontId="1" type="noConversion"/>
  </si>
  <si>
    <t>서울반도체</t>
    <phoneticPr fontId="1" type="noConversion"/>
  </si>
  <si>
    <t>[046890]</t>
    <phoneticPr fontId="1" type="noConversion"/>
  </si>
  <si>
    <t>엑세스바이오</t>
    <phoneticPr fontId="1" type="noConversion"/>
  </si>
  <si>
    <t>[950130]</t>
    <phoneticPr fontId="1" type="noConversion"/>
  </si>
  <si>
    <t>클래시스</t>
    <phoneticPr fontId="1" type="noConversion"/>
  </si>
  <si>
    <t>[214150]</t>
    <phoneticPr fontId="1" type="noConversion"/>
  </si>
  <si>
    <t>GS홈쇼핑</t>
    <phoneticPr fontId="1" type="noConversion"/>
  </si>
  <si>
    <t>[028150]</t>
    <phoneticPr fontId="1" type="noConversion"/>
  </si>
  <si>
    <t>에코프로</t>
    <phoneticPr fontId="1" type="noConversion"/>
  </si>
  <si>
    <t>[086520]</t>
    <phoneticPr fontId="1" type="noConversion"/>
  </si>
  <si>
    <t>차바이오텍</t>
    <phoneticPr fontId="1" type="noConversion"/>
  </si>
  <si>
    <t>[085660]</t>
    <phoneticPr fontId="1" type="noConversion"/>
  </si>
  <si>
    <t>에이스테크</t>
    <phoneticPr fontId="1" type="noConversion"/>
  </si>
  <si>
    <t>[088800]</t>
    <phoneticPr fontId="1" type="noConversion"/>
  </si>
  <si>
    <t>신라젠</t>
    <phoneticPr fontId="1" type="noConversion"/>
  </si>
  <si>
    <t>[215600]</t>
    <phoneticPr fontId="1" type="noConversion"/>
  </si>
  <si>
    <t>젬백스</t>
    <phoneticPr fontId="1" type="noConversion"/>
  </si>
  <si>
    <t>[082270]</t>
    <phoneticPr fontId="1" type="noConversion"/>
  </si>
  <si>
    <t>PI첨단소재</t>
    <phoneticPr fontId="1" type="noConversion"/>
  </si>
  <si>
    <t>[178920]</t>
    <phoneticPr fontId="1" type="noConversion"/>
  </si>
  <si>
    <t>RFHIC</t>
    <phoneticPr fontId="1" type="noConversion"/>
  </si>
  <si>
    <t>[218410]</t>
    <phoneticPr fontId="1" type="noConversion"/>
  </si>
  <si>
    <t>코미팜</t>
    <phoneticPr fontId="1" type="noConversion"/>
  </si>
  <si>
    <t>[041960]</t>
    <phoneticPr fontId="1" type="noConversion"/>
  </si>
  <si>
    <t>SFA반도체</t>
    <phoneticPr fontId="1" type="noConversion"/>
  </si>
  <si>
    <t>[036540]</t>
    <phoneticPr fontId="1" type="noConversion"/>
  </si>
  <si>
    <t>엔지켐생명과학</t>
    <phoneticPr fontId="1" type="noConversion"/>
  </si>
  <si>
    <t>[183490]</t>
    <phoneticPr fontId="1" type="noConversion"/>
  </si>
  <si>
    <t>바이넥스</t>
    <phoneticPr fontId="1" type="noConversion"/>
  </si>
  <si>
    <t>[053030]</t>
    <phoneticPr fontId="1" type="noConversion"/>
  </si>
  <si>
    <t>에코마케팅</t>
    <phoneticPr fontId="1" type="noConversion"/>
  </si>
  <si>
    <t>[230360]</t>
    <phoneticPr fontId="1" type="noConversion"/>
  </si>
  <si>
    <t>와이지엔터테인먼트</t>
    <phoneticPr fontId="1" type="noConversion"/>
  </si>
  <si>
    <t>[122870]</t>
    <phoneticPr fontId="1" type="noConversion"/>
  </si>
  <si>
    <t>비에이치</t>
    <phoneticPr fontId="1" type="noConversion"/>
  </si>
  <si>
    <t>[090460]</t>
    <phoneticPr fontId="1" type="noConversion"/>
  </si>
  <si>
    <t>알서포트</t>
    <phoneticPr fontId="1" type="noConversion"/>
  </si>
  <si>
    <t>[131370]</t>
    <phoneticPr fontId="1" type="noConversion"/>
  </si>
  <si>
    <t>바디텍메드</t>
    <phoneticPr fontId="1" type="noConversion"/>
  </si>
  <si>
    <t>[206640]</t>
    <phoneticPr fontId="1" type="noConversion"/>
  </si>
  <si>
    <t>실리콘웍스</t>
    <phoneticPr fontId="1" type="noConversion"/>
  </si>
  <si>
    <t>[108320]</t>
    <phoneticPr fontId="1" type="noConversion"/>
  </si>
  <si>
    <t>아난티</t>
    <phoneticPr fontId="1" type="noConversion"/>
  </si>
  <si>
    <t>[025980]</t>
    <phoneticPr fontId="1" type="noConversion"/>
  </si>
  <si>
    <t>서울바이오시스</t>
    <phoneticPr fontId="1" type="noConversion"/>
  </si>
  <si>
    <t>[092190]</t>
    <phoneticPr fontId="1" type="noConversion"/>
  </si>
  <si>
    <t>덕산네오룩스</t>
    <phoneticPr fontId="1" type="noConversion"/>
  </si>
  <si>
    <t>[213420]</t>
    <phoneticPr fontId="1" type="noConversion"/>
  </si>
  <si>
    <t>동화기업</t>
    <phoneticPr fontId="1" type="noConversion"/>
  </si>
  <si>
    <t>[025900]</t>
    <phoneticPr fontId="1" type="noConversion"/>
  </si>
  <si>
    <t>크리스탈지노믹스</t>
    <phoneticPr fontId="1" type="noConversion"/>
  </si>
  <si>
    <t>[083790]</t>
    <phoneticPr fontId="1" type="noConversion"/>
  </si>
  <si>
    <t>에스엠</t>
    <phoneticPr fontId="1" type="noConversion"/>
  </si>
  <si>
    <t>[041510]</t>
    <phoneticPr fontId="1" type="noConversion"/>
  </si>
  <si>
    <t>지트리비앤티</t>
    <phoneticPr fontId="1" type="noConversion"/>
  </si>
  <si>
    <t>[115450]</t>
    <phoneticPr fontId="1" type="noConversion"/>
  </si>
  <si>
    <t>아프리카TV</t>
    <phoneticPr fontId="1" type="noConversion"/>
  </si>
  <si>
    <t>[067160]</t>
    <phoneticPr fontId="1" type="noConversion"/>
  </si>
  <si>
    <t>에스앤에스텍</t>
    <phoneticPr fontId="1" type="noConversion"/>
  </si>
  <si>
    <t>[101490]</t>
    <phoneticPr fontId="1" type="noConversion"/>
  </si>
  <si>
    <t>서진시스템</t>
    <phoneticPr fontId="1" type="noConversion"/>
  </si>
  <si>
    <t>[178320]</t>
    <phoneticPr fontId="1" type="noConversion"/>
  </si>
  <si>
    <t>네패스</t>
    <phoneticPr fontId="1" type="noConversion"/>
  </si>
  <si>
    <t>[033640]</t>
    <phoneticPr fontId="1" type="noConversion"/>
  </si>
  <si>
    <t>아미코젠</t>
    <phoneticPr fontId="1" type="noConversion"/>
  </si>
  <si>
    <t>[092040]</t>
    <phoneticPr fontId="1" type="noConversion"/>
  </si>
  <si>
    <t>위메이드</t>
    <phoneticPr fontId="1" type="noConversion"/>
  </si>
  <si>
    <t>[112040]</t>
    <phoneticPr fontId="1" type="noConversion"/>
  </si>
  <si>
    <t>케어젠</t>
    <phoneticPr fontId="1" type="noConversion"/>
  </si>
  <si>
    <t>[214370]</t>
    <phoneticPr fontId="1" type="noConversion"/>
  </si>
  <si>
    <t>국일제지</t>
    <phoneticPr fontId="1" type="noConversion"/>
  </si>
  <si>
    <t>[078130]</t>
    <phoneticPr fontId="1" type="noConversion"/>
  </si>
  <si>
    <t>제이앤티씨</t>
    <phoneticPr fontId="1" type="noConversion"/>
  </si>
  <si>
    <t>[204270]</t>
    <phoneticPr fontId="1" type="noConversion"/>
  </si>
  <si>
    <t>안랩</t>
    <phoneticPr fontId="1" type="noConversion"/>
  </si>
  <si>
    <t>[053800]</t>
    <phoneticPr fontId="1" type="noConversion"/>
  </si>
  <si>
    <t>CMG제약</t>
    <phoneticPr fontId="1" type="noConversion"/>
  </si>
  <si>
    <t>[058820]</t>
    <phoneticPr fontId="1" type="noConversion"/>
  </si>
  <si>
    <t>하림지주</t>
    <phoneticPr fontId="1" type="noConversion"/>
  </si>
  <si>
    <t>[003380]</t>
    <phoneticPr fontId="1" type="noConversion"/>
  </si>
  <si>
    <t>엠씨넥스</t>
    <phoneticPr fontId="1" type="noConversion"/>
  </si>
  <si>
    <t>[097520]</t>
    <phoneticPr fontId="1" type="noConversion"/>
  </si>
  <si>
    <t>톱텍</t>
    <phoneticPr fontId="1" type="noConversion"/>
  </si>
  <si>
    <t>[108230]</t>
    <phoneticPr fontId="1" type="noConversion"/>
  </si>
  <si>
    <t>유니슨</t>
    <phoneticPr fontId="1" type="noConversion"/>
  </si>
  <si>
    <t>[018000]</t>
    <phoneticPr fontId="1" type="noConversion"/>
  </si>
  <si>
    <t>파마리서치프로덕트</t>
    <phoneticPr fontId="1" type="noConversion"/>
  </si>
  <si>
    <t>[214450]</t>
    <phoneticPr fontId="1" type="noConversion"/>
  </si>
  <si>
    <t>휴온스</t>
    <phoneticPr fontId="1" type="noConversion"/>
  </si>
  <si>
    <t>[243070]</t>
    <phoneticPr fontId="1" type="noConversion"/>
  </si>
  <si>
    <t>대주전자재료</t>
    <phoneticPr fontId="1" type="noConversion"/>
  </si>
  <si>
    <t>[078600]</t>
    <phoneticPr fontId="1" type="noConversion"/>
  </si>
  <si>
    <t>유진테크</t>
    <phoneticPr fontId="1" type="noConversion"/>
  </si>
  <si>
    <t>[084370]</t>
    <phoneticPr fontId="1" type="noConversion"/>
  </si>
  <si>
    <t>네이처셀</t>
    <phoneticPr fontId="1" type="noConversion"/>
  </si>
  <si>
    <t>[007390]</t>
    <phoneticPr fontId="1" type="noConversion"/>
  </si>
  <si>
    <t>상아프론테크</t>
    <phoneticPr fontId="1" type="noConversion"/>
  </si>
  <si>
    <t>[089980]</t>
    <phoneticPr fontId="1" type="noConversion"/>
  </si>
  <si>
    <t>바이오니아</t>
    <phoneticPr fontId="1" type="noConversion"/>
  </si>
  <si>
    <t>[064550]</t>
    <phoneticPr fontId="1" type="noConversion"/>
  </si>
  <si>
    <t>삼강엠앤티</t>
    <phoneticPr fontId="1" type="noConversion"/>
  </si>
  <si>
    <t>[100090]</t>
    <phoneticPr fontId="1" type="noConversion"/>
  </si>
  <si>
    <t>다원시스</t>
    <phoneticPr fontId="1" type="noConversion"/>
  </si>
  <si>
    <t>[068240]</t>
    <phoneticPr fontId="1" type="noConversion"/>
  </si>
  <si>
    <t>오스템임플란트</t>
    <phoneticPr fontId="1" type="noConversion"/>
  </si>
  <si>
    <t>[048260]</t>
    <phoneticPr fontId="1" type="noConversion"/>
  </si>
  <si>
    <t>텔콘RF제약</t>
    <phoneticPr fontId="1" type="noConversion"/>
  </si>
  <si>
    <t>[200230]</t>
    <phoneticPr fontId="1" type="noConversion"/>
  </si>
  <si>
    <t>KG이니시스</t>
    <phoneticPr fontId="1" type="noConversion"/>
  </si>
  <si>
    <t>[035600]</t>
    <phoneticPr fontId="1" type="noConversion"/>
  </si>
  <si>
    <t>파트론</t>
    <phoneticPr fontId="1" type="noConversion"/>
  </si>
  <si>
    <t>[091700]</t>
    <phoneticPr fontId="1" type="noConversion"/>
  </si>
  <si>
    <t>테스나</t>
    <phoneticPr fontId="1" type="noConversion"/>
  </si>
  <si>
    <t>[131970]</t>
    <phoneticPr fontId="1" type="noConversion"/>
  </si>
  <si>
    <t>매일유업</t>
    <phoneticPr fontId="1" type="noConversion"/>
  </si>
  <si>
    <t>[267980]</t>
    <phoneticPr fontId="1" type="noConversion"/>
  </si>
  <si>
    <t>헬릭스미스</t>
    <phoneticPr fontId="1" type="noConversion"/>
  </si>
  <si>
    <t>[084990]</t>
    <phoneticPr fontId="1" type="noConversion"/>
  </si>
  <si>
    <t>나노스</t>
    <phoneticPr fontId="1" type="noConversion"/>
  </si>
  <si>
    <t>[151910]</t>
    <phoneticPr fontId="1" type="noConversion"/>
  </si>
  <si>
    <t>코웰패션</t>
    <phoneticPr fontId="1" type="noConversion"/>
  </si>
  <si>
    <t>[033290]</t>
    <phoneticPr fontId="1" type="noConversion"/>
  </si>
  <si>
    <t>유바이오로직스</t>
    <phoneticPr fontId="1" type="noConversion"/>
  </si>
  <si>
    <t>[206650]</t>
    <phoneticPr fontId="1" type="noConversion"/>
  </si>
  <si>
    <t>유틸렉스</t>
    <phoneticPr fontId="1" type="noConversion"/>
  </si>
  <si>
    <t>[263050]</t>
    <phoneticPr fontId="1" type="noConversion"/>
  </si>
  <si>
    <t>이엔에프테크놀로지</t>
    <phoneticPr fontId="1" type="noConversion"/>
  </si>
  <si>
    <t>[102710]</t>
    <phoneticPr fontId="1" type="noConversion"/>
  </si>
  <si>
    <t>녹십자랩셀</t>
    <phoneticPr fontId="1" type="noConversion"/>
  </si>
  <si>
    <t>[144510]</t>
    <phoneticPr fontId="1" type="noConversion"/>
  </si>
  <si>
    <t>KMH</t>
    <phoneticPr fontId="1" type="noConversion"/>
  </si>
  <si>
    <t>[122450]</t>
    <phoneticPr fontId="1" type="noConversion"/>
  </si>
  <si>
    <t>유비쿼스홀딩스</t>
    <phoneticPr fontId="1" type="noConversion"/>
  </si>
  <si>
    <t>[078070]</t>
    <phoneticPr fontId="1" type="noConversion"/>
  </si>
  <si>
    <t>카페24</t>
    <phoneticPr fontId="1" type="noConversion"/>
  </si>
  <si>
    <t>[042000]</t>
    <phoneticPr fontId="1" type="noConversion"/>
  </si>
  <si>
    <t>오이솔루션</t>
    <phoneticPr fontId="1" type="noConversion"/>
  </si>
  <si>
    <t>[138080]</t>
    <phoneticPr fontId="1" type="noConversion"/>
  </si>
  <si>
    <t>코오롱티슈진</t>
    <phoneticPr fontId="1" type="noConversion"/>
  </si>
  <si>
    <t>[950160]</t>
    <phoneticPr fontId="1" type="noConversion"/>
  </si>
  <si>
    <t>녹십자셀</t>
    <phoneticPr fontId="1" type="noConversion"/>
  </si>
  <si>
    <t>[031390]</t>
    <phoneticPr fontId="1" type="noConversion"/>
  </si>
  <si>
    <t>와이팜</t>
    <phoneticPr fontId="1" type="noConversion"/>
  </si>
  <si>
    <t>[332570]</t>
    <phoneticPr fontId="1" type="noConversion"/>
  </si>
  <si>
    <t>쏠리드</t>
    <phoneticPr fontId="1" type="noConversion"/>
  </si>
  <si>
    <t>[050890]</t>
    <phoneticPr fontId="1" type="noConversion"/>
  </si>
  <si>
    <t>네오위즈</t>
    <phoneticPr fontId="1" type="noConversion"/>
  </si>
  <si>
    <t>[095660]</t>
    <phoneticPr fontId="1" type="noConversion"/>
  </si>
  <si>
    <t>유니테스트</t>
    <phoneticPr fontId="1" type="noConversion"/>
  </si>
  <si>
    <t>[086390]</t>
    <phoneticPr fontId="1" type="noConversion"/>
  </si>
  <si>
    <t>레몬</t>
    <phoneticPr fontId="1" type="noConversion"/>
  </si>
  <si>
    <t>[294140]</t>
    <phoneticPr fontId="1" type="noConversion"/>
  </si>
  <si>
    <t>웹케시</t>
    <phoneticPr fontId="1" type="noConversion"/>
  </si>
  <si>
    <t>[053580]</t>
    <phoneticPr fontId="1" type="noConversion"/>
  </si>
  <si>
    <t>미코</t>
    <phoneticPr fontId="1" type="noConversion"/>
  </si>
  <si>
    <t>[059090]</t>
    <phoneticPr fontId="1" type="noConversion"/>
  </si>
  <si>
    <t>에스맥</t>
    <phoneticPr fontId="1" type="noConversion"/>
  </si>
  <si>
    <t>[097780]</t>
    <phoneticPr fontId="1" type="noConversion"/>
  </si>
  <si>
    <t>유비케어</t>
    <phoneticPr fontId="1" type="noConversion"/>
  </si>
  <si>
    <t>[032620]</t>
    <phoneticPr fontId="1" type="noConversion"/>
  </si>
  <si>
    <t>인트론바이오</t>
    <phoneticPr fontId="1" type="noConversion"/>
  </si>
  <si>
    <t>[048530]</t>
    <phoneticPr fontId="1" type="noConversion"/>
  </si>
  <si>
    <t>골프존</t>
    <phoneticPr fontId="1" type="noConversion"/>
  </si>
  <si>
    <t>[215000]</t>
    <phoneticPr fontId="1" type="noConversion"/>
  </si>
  <si>
    <t>다우데이타</t>
    <phoneticPr fontId="1" type="noConversion"/>
  </si>
  <si>
    <t>[032190]</t>
    <phoneticPr fontId="1" type="noConversion"/>
  </si>
  <si>
    <t>메디포스트</t>
    <phoneticPr fontId="1" type="noConversion"/>
  </si>
  <si>
    <t>[078160]</t>
    <phoneticPr fontId="1" type="noConversion"/>
  </si>
  <si>
    <t>디오</t>
    <phoneticPr fontId="1" type="noConversion"/>
  </si>
  <si>
    <t>[039840]</t>
    <phoneticPr fontId="1" type="noConversion"/>
  </si>
  <si>
    <t>제테마</t>
    <phoneticPr fontId="1" type="noConversion"/>
  </si>
  <si>
    <t>[216080]</t>
    <phoneticPr fontId="1" type="noConversion"/>
  </si>
  <si>
    <t>테스</t>
    <phoneticPr fontId="1" type="noConversion"/>
  </si>
  <si>
    <t>[095610]</t>
    <phoneticPr fontId="1" type="noConversion"/>
  </si>
  <si>
    <t>넥슨지티</t>
    <phoneticPr fontId="1" type="noConversion"/>
  </si>
  <si>
    <t>[041140]</t>
    <phoneticPr fontId="1" type="noConversion"/>
  </si>
  <si>
    <t>한국아트라스비엑스</t>
    <phoneticPr fontId="1" type="noConversion"/>
  </si>
  <si>
    <t>[023890]</t>
    <phoneticPr fontId="1" type="noConversion"/>
  </si>
  <si>
    <t>와이솔</t>
    <phoneticPr fontId="1" type="noConversion"/>
  </si>
  <si>
    <t>[122990]</t>
    <phoneticPr fontId="1" type="noConversion"/>
  </si>
  <si>
    <t>코나아이</t>
    <phoneticPr fontId="1" type="noConversion"/>
  </si>
  <si>
    <t>[052400]</t>
    <phoneticPr fontId="1" type="noConversion"/>
  </si>
  <si>
    <t>에이스침대</t>
    <phoneticPr fontId="1" type="noConversion"/>
  </si>
  <si>
    <t>[003800]</t>
    <phoneticPr fontId="1" type="noConversion"/>
  </si>
  <si>
    <t>엔케이맥스</t>
    <phoneticPr fontId="1" type="noConversion"/>
  </si>
  <si>
    <t>[182400]</t>
    <phoneticPr fontId="1" type="noConversion"/>
  </si>
  <si>
    <t>이녹스첨단소재</t>
    <phoneticPr fontId="1" type="noConversion"/>
  </si>
  <si>
    <t>[272290]</t>
    <phoneticPr fontId="1" type="noConversion"/>
  </si>
  <si>
    <t>동국S&amp;C</t>
    <phoneticPr fontId="1" type="noConversion"/>
  </si>
  <si>
    <t>[100130]</t>
    <phoneticPr fontId="1" type="noConversion"/>
  </si>
  <si>
    <t>메가스터디교육</t>
    <phoneticPr fontId="1" type="noConversion"/>
  </si>
  <si>
    <t>[215200]</t>
    <phoneticPr fontId="1" type="noConversion"/>
  </si>
  <si>
    <t>한글과컴퓨터</t>
    <phoneticPr fontId="1" type="noConversion"/>
  </si>
  <si>
    <t>[030520]</t>
    <phoneticPr fontId="1" type="noConversion"/>
  </si>
  <si>
    <t>코엔텍</t>
    <phoneticPr fontId="1" type="noConversion"/>
  </si>
  <si>
    <t>[029960]</t>
    <phoneticPr fontId="1" type="noConversion"/>
  </si>
  <si>
    <t>셀리드</t>
    <phoneticPr fontId="1" type="noConversion"/>
  </si>
  <si>
    <t>[299660]</t>
    <phoneticPr fontId="1" type="noConversion"/>
  </si>
  <si>
    <t>대아티아이</t>
    <phoneticPr fontId="1" type="noConversion"/>
  </si>
  <si>
    <t>[045390]</t>
    <phoneticPr fontId="1" type="noConversion"/>
  </si>
  <si>
    <t>케이피엠테크</t>
    <phoneticPr fontId="1" type="noConversion"/>
  </si>
  <si>
    <t>[042040]</t>
    <phoneticPr fontId="1" type="noConversion"/>
  </si>
  <si>
    <t>케이아이엔엑스</t>
    <phoneticPr fontId="1" type="noConversion"/>
  </si>
  <si>
    <t>[093320]</t>
    <phoneticPr fontId="1" type="noConversion"/>
  </si>
  <si>
    <t>하나머티리얼즈</t>
    <phoneticPr fontId="1" type="noConversion"/>
  </si>
  <si>
    <t>[166090]</t>
    <phoneticPr fontId="1" type="noConversion"/>
  </si>
  <si>
    <t>뉴지랩</t>
    <phoneticPr fontId="1" type="noConversion"/>
  </si>
  <si>
    <t>[214870]</t>
    <phoneticPr fontId="1" type="noConversion"/>
  </si>
  <si>
    <t>엘비세미콘</t>
    <phoneticPr fontId="1" type="noConversion"/>
  </si>
  <si>
    <t>[061970]</t>
    <phoneticPr fontId="1" type="noConversion"/>
  </si>
  <si>
    <t>피엔티</t>
    <phoneticPr fontId="1" type="noConversion"/>
  </si>
  <si>
    <t>[137400]</t>
    <phoneticPr fontId="1" type="noConversion"/>
  </si>
  <si>
    <t>KH바텍</t>
    <phoneticPr fontId="1" type="noConversion"/>
  </si>
  <si>
    <t>[060720]</t>
    <phoneticPr fontId="1" type="noConversion"/>
  </si>
  <si>
    <t>솔브레인홀딩스</t>
    <phoneticPr fontId="1" type="noConversion"/>
  </si>
  <si>
    <t>[036830]</t>
    <phoneticPr fontId="1" type="noConversion"/>
  </si>
  <si>
    <t>한국기업평가</t>
    <phoneticPr fontId="1" type="noConversion"/>
  </si>
  <si>
    <t>[034950]</t>
    <phoneticPr fontId="1" type="noConversion"/>
  </si>
  <si>
    <t>카이노스메드</t>
    <phoneticPr fontId="1" type="noConversion"/>
  </si>
  <si>
    <t>[284620]</t>
    <phoneticPr fontId="1" type="noConversion"/>
  </si>
  <si>
    <t>앱클론</t>
    <phoneticPr fontId="1" type="noConversion"/>
  </si>
  <si>
    <t>[174900]</t>
    <phoneticPr fontId="1" type="noConversion"/>
  </si>
  <si>
    <t>올릭스</t>
    <phoneticPr fontId="1" type="noConversion"/>
  </si>
  <si>
    <t>[226950]</t>
    <phoneticPr fontId="1" type="noConversion"/>
  </si>
  <si>
    <t>안트로젠</t>
    <phoneticPr fontId="1" type="noConversion"/>
  </si>
  <si>
    <t>[065660]</t>
    <phoneticPr fontId="1" type="noConversion"/>
  </si>
  <si>
    <t>파크시스템스</t>
    <phoneticPr fontId="1" type="noConversion"/>
  </si>
  <si>
    <t>[140860]</t>
    <phoneticPr fontId="1" type="noConversion"/>
  </si>
  <si>
    <t>에프에스티</t>
    <phoneticPr fontId="1" type="noConversion"/>
  </si>
  <si>
    <t>[036810]</t>
    <phoneticPr fontId="1" type="noConversion"/>
  </si>
  <si>
    <t>이오플로우</t>
    <phoneticPr fontId="1" type="noConversion"/>
  </si>
  <si>
    <t>[294090]</t>
    <phoneticPr fontId="1" type="noConversion"/>
  </si>
  <si>
    <t>티움바이오</t>
    <phoneticPr fontId="1" type="noConversion"/>
  </si>
  <si>
    <t>[321550]</t>
    <phoneticPr fontId="1" type="noConversion"/>
  </si>
  <si>
    <t>와이아이케이</t>
    <phoneticPr fontId="1" type="noConversion"/>
  </si>
  <si>
    <t>[232140]</t>
    <phoneticPr fontId="1" type="noConversion"/>
  </si>
  <si>
    <t>다나와</t>
    <phoneticPr fontId="1" type="noConversion"/>
  </si>
  <si>
    <t>[119860]</t>
    <phoneticPr fontId="1" type="noConversion"/>
  </si>
  <si>
    <t>티에스이</t>
    <phoneticPr fontId="1" type="noConversion"/>
  </si>
  <si>
    <t>[131290]</t>
    <phoneticPr fontId="1" type="noConversion"/>
  </si>
  <si>
    <t>원익QnC</t>
    <phoneticPr fontId="1" type="noConversion"/>
  </si>
  <si>
    <t>[074600]</t>
    <phoneticPr fontId="1" type="noConversion"/>
  </si>
  <si>
    <t>디앤씨미디어</t>
    <phoneticPr fontId="1" type="noConversion"/>
  </si>
  <si>
    <t>[263720]</t>
    <phoneticPr fontId="1" type="noConversion"/>
  </si>
  <si>
    <t>슈피겐코리아</t>
    <phoneticPr fontId="1" type="noConversion"/>
  </si>
  <si>
    <t>[192440]</t>
    <phoneticPr fontId="1" type="noConversion"/>
  </si>
  <si>
    <t>피에스케이</t>
    <phoneticPr fontId="1" type="noConversion"/>
  </si>
  <si>
    <t>[319660]</t>
    <phoneticPr fontId="1" type="noConversion"/>
  </si>
  <si>
    <t>아이센스</t>
    <phoneticPr fontId="1" type="noConversion"/>
  </si>
  <si>
    <t>[099190]</t>
    <phoneticPr fontId="1" type="noConversion"/>
  </si>
  <si>
    <t>동원개발</t>
    <phoneticPr fontId="1" type="noConversion"/>
  </si>
  <si>
    <t>[013120]</t>
    <phoneticPr fontId="1" type="noConversion"/>
  </si>
  <si>
    <t>다산네트웍스</t>
    <phoneticPr fontId="1" type="noConversion"/>
  </si>
  <si>
    <t>[039560]</t>
    <phoneticPr fontId="1" type="noConversion"/>
  </si>
  <si>
    <t>이노와이어리스</t>
    <phoneticPr fontId="1" type="noConversion"/>
  </si>
  <si>
    <t>[073490]</t>
    <phoneticPr fontId="1" type="noConversion"/>
  </si>
  <si>
    <t>삼표시멘트</t>
    <phoneticPr fontId="1" type="noConversion"/>
  </si>
  <si>
    <t>[038500]</t>
    <phoneticPr fontId="1" type="noConversion"/>
  </si>
  <si>
    <t>현대바이오</t>
    <phoneticPr fontId="1" type="noConversion"/>
  </si>
  <si>
    <t>[048410]</t>
    <phoneticPr fontId="1" type="noConversion"/>
  </si>
  <si>
    <t>씨아이에스</t>
    <phoneticPr fontId="1" type="noConversion"/>
  </si>
  <si>
    <t>[222080]</t>
    <phoneticPr fontId="1" type="noConversion"/>
  </si>
  <si>
    <t>아이큐어</t>
    <phoneticPr fontId="1" type="noConversion"/>
  </si>
  <si>
    <t>[175250]</t>
    <phoneticPr fontId="1" type="noConversion"/>
  </si>
  <si>
    <t>비츠로셀</t>
    <phoneticPr fontId="1" type="noConversion"/>
  </si>
  <si>
    <t>[082920]</t>
    <phoneticPr fontId="1" type="noConversion"/>
  </si>
  <si>
    <t>주성엔지니어링</t>
    <phoneticPr fontId="1" type="noConversion"/>
  </si>
  <si>
    <t>[036930]</t>
    <phoneticPr fontId="1" type="noConversion"/>
  </si>
  <si>
    <t>서부T&amp;D</t>
    <phoneticPr fontId="1" type="noConversion"/>
  </si>
  <si>
    <t>[006730]</t>
    <phoneticPr fontId="1" type="noConversion"/>
  </si>
  <si>
    <t>위닉스</t>
    <phoneticPr fontId="1" type="noConversion"/>
  </si>
  <si>
    <t>[044340]</t>
    <phoneticPr fontId="1" type="noConversion"/>
  </si>
  <si>
    <t>인선이엔티</t>
    <phoneticPr fontId="1" type="noConversion"/>
  </si>
  <si>
    <t>[060150]</t>
    <phoneticPr fontId="1" type="noConversion"/>
  </si>
  <si>
    <t>현대바이오랜드</t>
    <phoneticPr fontId="1" type="noConversion"/>
  </si>
  <si>
    <t>[052260]</t>
    <phoneticPr fontId="1" type="noConversion"/>
  </si>
  <si>
    <t>에스씨엠생명과학</t>
    <phoneticPr fontId="1" type="noConversion"/>
  </si>
  <si>
    <t>[298060]</t>
    <phoneticPr fontId="1" type="noConversion"/>
  </si>
  <si>
    <t>미투젠</t>
    <phoneticPr fontId="1" type="noConversion"/>
  </si>
  <si>
    <t>[950190]</t>
    <phoneticPr fontId="1" type="noConversion"/>
  </si>
  <si>
    <t>노바렉스</t>
    <phoneticPr fontId="1" type="noConversion"/>
  </si>
  <si>
    <t>[194700]</t>
    <phoneticPr fontId="1" type="noConversion"/>
  </si>
  <si>
    <t>휴온스글로벌</t>
    <phoneticPr fontId="1" type="noConversion"/>
  </si>
  <si>
    <t>[084110]</t>
    <phoneticPr fontId="1" type="noConversion"/>
  </si>
  <si>
    <t>테크윙</t>
    <phoneticPr fontId="1" type="noConversion"/>
  </si>
  <si>
    <t>[089030]</t>
    <phoneticPr fontId="1" type="noConversion"/>
  </si>
  <si>
    <t>다날</t>
    <phoneticPr fontId="1" type="noConversion"/>
  </si>
  <si>
    <t>[064260]</t>
    <phoneticPr fontId="1" type="noConversion"/>
  </si>
  <si>
    <t>이베스트투자증권</t>
    <phoneticPr fontId="1" type="noConversion"/>
  </si>
  <si>
    <t>[078020]</t>
    <phoneticPr fontId="1" type="noConversion"/>
  </si>
  <si>
    <t>원익홀딩스</t>
    <phoneticPr fontId="1" type="noConversion"/>
  </si>
  <si>
    <t>[030530]</t>
    <phoneticPr fontId="1" type="noConversion"/>
  </si>
  <si>
    <t>KG모빌리언스</t>
    <phoneticPr fontId="1" type="noConversion"/>
  </si>
  <si>
    <t>[046440]</t>
    <phoneticPr fontId="1" type="noConversion"/>
  </si>
  <si>
    <t>유진기업</t>
    <phoneticPr fontId="1" type="noConversion"/>
  </si>
  <si>
    <t>[023410]</t>
    <phoneticPr fontId="1" type="noConversion"/>
  </si>
  <si>
    <t>상상인</t>
    <phoneticPr fontId="1" type="noConversion"/>
  </si>
  <si>
    <t>[038540]</t>
    <phoneticPr fontId="1" type="noConversion"/>
  </si>
  <si>
    <t>에치에프알</t>
    <phoneticPr fontId="1" type="noConversion"/>
  </si>
  <si>
    <t>[230240]</t>
    <phoneticPr fontId="1" type="noConversion"/>
  </si>
  <si>
    <t>인크로스</t>
    <phoneticPr fontId="1" type="noConversion"/>
  </si>
  <si>
    <t>[216050]</t>
    <phoneticPr fontId="1" type="noConversion"/>
  </si>
  <si>
    <t>한국정보통신</t>
    <phoneticPr fontId="1" type="noConversion"/>
  </si>
  <si>
    <t>[025770]</t>
    <phoneticPr fontId="1" type="noConversion"/>
  </si>
  <si>
    <t>원익머트리얼즈</t>
    <phoneticPr fontId="1" type="noConversion"/>
  </si>
  <si>
    <t>[104830]</t>
    <phoneticPr fontId="1" type="noConversion"/>
  </si>
  <si>
    <t>엘앤씨바이오</t>
    <phoneticPr fontId="1" type="noConversion"/>
  </si>
  <si>
    <t>[290650]</t>
    <phoneticPr fontId="1" type="noConversion"/>
  </si>
  <si>
    <t>바텍</t>
    <phoneticPr fontId="1" type="noConversion"/>
  </si>
  <si>
    <t>[043150]</t>
    <phoneticPr fontId="1" type="noConversion"/>
  </si>
  <si>
    <t>AP시스템</t>
    <phoneticPr fontId="1" type="noConversion"/>
  </si>
  <si>
    <t>[265520]</t>
    <phoneticPr fontId="1" type="noConversion"/>
  </si>
  <si>
    <t>나노신소재</t>
    <phoneticPr fontId="1" type="noConversion"/>
  </si>
  <si>
    <t>[121600]</t>
    <phoneticPr fontId="1" type="noConversion"/>
  </si>
  <si>
    <t>OQP</t>
    <phoneticPr fontId="1" type="noConversion"/>
  </si>
  <si>
    <t>[078590]</t>
    <phoneticPr fontId="1" type="noConversion"/>
  </si>
  <si>
    <t>압타바이오</t>
    <phoneticPr fontId="1" type="noConversion"/>
  </si>
  <si>
    <t>[293780]</t>
    <phoneticPr fontId="1" type="noConversion"/>
  </si>
  <si>
    <t>해마로푸드서비스</t>
    <phoneticPr fontId="1" type="noConversion"/>
  </si>
  <si>
    <t>[220630]</t>
    <phoneticPr fontId="1" type="noConversion"/>
  </si>
  <si>
    <t>경동제약</t>
    <phoneticPr fontId="1" type="noConversion"/>
  </si>
  <si>
    <t>[011040]</t>
    <phoneticPr fontId="1" type="noConversion"/>
  </si>
  <si>
    <t>에이디테크놀로지</t>
    <phoneticPr fontId="1" type="noConversion"/>
  </si>
  <si>
    <t>[200710]</t>
    <phoneticPr fontId="1" type="noConversion"/>
  </si>
  <si>
    <t>[047920]</t>
    <phoneticPr fontId="1" type="noConversion"/>
  </si>
  <si>
    <t>성우하이텍</t>
    <phoneticPr fontId="1" type="noConversion"/>
  </si>
  <si>
    <t>[015750]</t>
    <phoneticPr fontId="1" type="noConversion"/>
  </si>
  <si>
    <t>파워로직스</t>
    <phoneticPr fontId="1" type="noConversion"/>
  </si>
  <si>
    <t>[047310]</t>
    <phoneticPr fontId="1" type="noConversion"/>
  </si>
  <si>
    <t>뷰웍스</t>
    <phoneticPr fontId="1" type="noConversion"/>
  </si>
  <si>
    <t>[100120]</t>
    <phoneticPr fontId="1" type="noConversion"/>
  </si>
  <si>
    <t>인탑스</t>
    <phoneticPr fontId="1" type="noConversion"/>
  </si>
  <si>
    <t>[049070]</t>
    <phoneticPr fontId="1" type="noConversion"/>
  </si>
  <si>
    <t>아주IB투자</t>
    <phoneticPr fontId="1" type="noConversion"/>
  </si>
  <si>
    <t>[027360]</t>
    <phoneticPr fontId="1" type="noConversion"/>
  </si>
  <si>
    <t>아모텍</t>
    <phoneticPr fontId="1" type="noConversion"/>
  </si>
  <si>
    <t>[052710]</t>
    <phoneticPr fontId="1" type="noConversion"/>
  </si>
  <si>
    <t>덕산테코피아</t>
    <phoneticPr fontId="1" type="noConversion"/>
  </si>
  <si>
    <t>[317330]</t>
    <phoneticPr fontId="1" type="noConversion"/>
  </si>
  <si>
    <t>우리기술투자</t>
    <phoneticPr fontId="1" type="noConversion"/>
  </si>
  <si>
    <t>[041190]</t>
    <phoneticPr fontId="1" type="noConversion"/>
  </si>
  <si>
    <t>넵튠</t>
    <phoneticPr fontId="1" type="noConversion"/>
  </si>
  <si>
    <t>[217270]</t>
    <phoneticPr fontId="1" type="noConversion"/>
  </si>
  <si>
    <t>하림</t>
    <phoneticPr fontId="1" type="noConversion"/>
  </si>
  <si>
    <t>[136480]</t>
    <phoneticPr fontId="1" type="noConversion"/>
  </si>
  <si>
    <t>드림어스컴퍼니</t>
    <phoneticPr fontId="1" type="noConversion"/>
  </si>
  <si>
    <t>[060570]</t>
    <phoneticPr fontId="1" type="noConversion"/>
  </si>
  <si>
    <t>신흥에스이씨</t>
    <phoneticPr fontId="1" type="noConversion"/>
  </si>
  <si>
    <t>[243840]</t>
    <phoneticPr fontId="1" type="noConversion"/>
  </si>
  <si>
    <t>레이</t>
    <phoneticPr fontId="1" type="noConversion"/>
  </si>
  <si>
    <t>[228670]</t>
    <phoneticPr fontId="1" type="noConversion"/>
  </si>
  <si>
    <t>클리오</t>
    <phoneticPr fontId="1" type="noConversion"/>
  </si>
  <si>
    <t>[237880]</t>
    <phoneticPr fontId="1" type="noConversion"/>
  </si>
  <si>
    <t>모두투어</t>
    <phoneticPr fontId="1" type="noConversion"/>
  </si>
  <si>
    <t>[080160]</t>
    <phoneticPr fontId="1" type="noConversion"/>
  </si>
  <si>
    <t>사람인에이치알</t>
    <phoneticPr fontId="1" type="noConversion"/>
  </si>
  <si>
    <t>[143240]</t>
    <phoneticPr fontId="1" type="noConversion"/>
  </si>
  <si>
    <t>동성화인텍</t>
    <phoneticPr fontId="1" type="noConversion"/>
  </si>
  <si>
    <t>[033500]</t>
    <phoneticPr fontId="1" type="noConversion"/>
  </si>
  <si>
    <t>피앤이솔루션</t>
    <phoneticPr fontId="1" type="noConversion"/>
  </si>
  <si>
    <t>[131390]</t>
    <phoneticPr fontId="1" type="noConversion"/>
  </si>
  <si>
    <t>에이피티씨</t>
    <phoneticPr fontId="1" type="noConversion"/>
  </si>
  <si>
    <t>[089970]</t>
    <phoneticPr fontId="1" type="noConversion"/>
  </si>
  <si>
    <t>세틀뱅크</t>
    <phoneticPr fontId="1" type="noConversion"/>
  </si>
  <si>
    <t>[234340]</t>
    <phoneticPr fontId="1" type="noConversion"/>
  </si>
  <si>
    <t>SNK</t>
    <phoneticPr fontId="1" type="noConversion"/>
  </si>
  <si>
    <t>[950180]</t>
    <phoneticPr fontId="1" type="noConversion"/>
  </si>
  <si>
    <t>2020.10.23</t>
  </si>
  <si>
    <t>2020.10.22</t>
  </si>
  <si>
    <t>삼성전자</t>
    <phoneticPr fontId="1" type="noConversion"/>
  </si>
  <si>
    <t>SK하이닉스</t>
    <phoneticPr fontId="1" type="noConversion"/>
  </si>
  <si>
    <t>[000660]</t>
    <phoneticPr fontId="1" type="noConversion"/>
  </si>
  <si>
    <t>NAVER</t>
    <phoneticPr fontId="1" type="noConversion"/>
  </si>
  <si>
    <t>[035420]</t>
    <phoneticPr fontId="1" type="noConversion"/>
  </si>
  <si>
    <t>LG화학</t>
    <phoneticPr fontId="1" type="noConversion"/>
  </si>
  <si>
    <t>[051910]</t>
    <phoneticPr fontId="1" type="noConversion"/>
  </si>
  <si>
    <t>삼성전자우</t>
    <phoneticPr fontId="1" type="noConversion"/>
  </si>
  <si>
    <t>[005935]</t>
    <phoneticPr fontId="1" type="noConversion"/>
  </si>
  <si>
    <t>삼성바이오로직스</t>
    <phoneticPr fontId="1" type="noConversion"/>
  </si>
  <si>
    <t>[207940]</t>
    <phoneticPr fontId="1" type="noConversion"/>
  </si>
  <si>
    <t>현대차</t>
    <phoneticPr fontId="1" type="noConversion"/>
  </si>
  <si>
    <t>셀트리온</t>
    <phoneticPr fontId="1" type="noConversion"/>
  </si>
  <si>
    <t>[068270]</t>
    <phoneticPr fontId="1" type="noConversion"/>
  </si>
  <si>
    <t>카카오</t>
    <phoneticPr fontId="1" type="noConversion"/>
  </si>
  <si>
    <t>[035720]</t>
    <phoneticPr fontId="1" type="noConversion"/>
  </si>
  <si>
    <t>삼성SDI</t>
    <phoneticPr fontId="1" type="noConversion"/>
  </si>
  <si>
    <t>[006400]</t>
    <phoneticPr fontId="1" type="noConversion"/>
  </si>
  <si>
    <t>LG생활건강</t>
    <phoneticPr fontId="1" type="noConversion"/>
  </si>
  <si>
    <t>[051900]</t>
    <phoneticPr fontId="1" type="noConversion"/>
  </si>
  <si>
    <t>현대모비스</t>
    <phoneticPr fontId="1" type="noConversion"/>
  </si>
  <si>
    <t>[012330]</t>
    <phoneticPr fontId="1" type="noConversion"/>
  </si>
  <si>
    <t>삼성물산</t>
    <phoneticPr fontId="1" type="noConversion"/>
  </si>
  <si>
    <t>[028260]</t>
    <phoneticPr fontId="1" type="noConversion"/>
  </si>
  <si>
    <t>SK텔레콤</t>
    <phoneticPr fontId="1" type="noConversion"/>
  </si>
  <si>
    <t>[017670]</t>
    <phoneticPr fontId="1" type="noConversion"/>
  </si>
  <si>
    <t>POSCO</t>
    <phoneticPr fontId="1" type="noConversion"/>
  </si>
  <si>
    <t>[005490]</t>
    <phoneticPr fontId="1" type="noConversion"/>
  </si>
  <si>
    <t>기아차</t>
    <phoneticPr fontId="1" type="noConversion"/>
  </si>
  <si>
    <t>[000270]</t>
    <phoneticPr fontId="1" type="noConversion"/>
  </si>
  <si>
    <t>KB금융</t>
    <phoneticPr fontId="1" type="noConversion"/>
  </si>
  <si>
    <t>[105560]</t>
    <phoneticPr fontId="1" type="noConversion"/>
  </si>
  <si>
    <t>엔씨소프트</t>
    <phoneticPr fontId="1" type="noConversion"/>
  </si>
  <si>
    <t>[036570]</t>
    <phoneticPr fontId="1" type="noConversion"/>
  </si>
  <si>
    <t>신한지주</t>
    <phoneticPr fontId="1" type="noConversion"/>
  </si>
  <si>
    <t>[055550]</t>
    <phoneticPr fontId="1" type="noConversion"/>
  </si>
  <si>
    <t>LG전자</t>
    <phoneticPr fontId="1" type="noConversion"/>
  </si>
  <si>
    <t>[066570]</t>
    <phoneticPr fontId="1" type="noConversion"/>
  </si>
  <si>
    <t>SK</t>
    <phoneticPr fontId="1" type="noConversion"/>
  </si>
  <si>
    <t>[034730]</t>
    <phoneticPr fontId="1" type="noConversion"/>
  </si>
  <si>
    <t>한국전력</t>
    <phoneticPr fontId="1" type="noConversion"/>
  </si>
  <si>
    <t>[015760]</t>
    <phoneticPr fontId="1" type="noConversion"/>
  </si>
  <si>
    <t>삼성에스디에스</t>
    <phoneticPr fontId="1" type="noConversion"/>
  </si>
  <si>
    <t>[018260]</t>
    <phoneticPr fontId="1" type="noConversion"/>
  </si>
  <si>
    <t>삼성생명</t>
    <phoneticPr fontId="1" type="noConversion"/>
  </si>
  <si>
    <t>[032830]</t>
    <phoneticPr fontId="1" type="noConversion"/>
  </si>
  <si>
    <t>SK이노베이션</t>
    <phoneticPr fontId="1" type="noConversion"/>
  </si>
  <si>
    <t>[096770]</t>
    <phoneticPr fontId="1" type="noConversion"/>
  </si>
  <si>
    <t>SK바이오팜</t>
    <phoneticPr fontId="1" type="noConversion"/>
  </si>
  <si>
    <t>[326030]</t>
    <phoneticPr fontId="1" type="noConversion"/>
  </si>
  <si>
    <t>LG</t>
    <phoneticPr fontId="1" type="noConversion"/>
  </si>
  <si>
    <t>[003550]</t>
    <phoneticPr fontId="1" type="noConversion"/>
  </si>
  <si>
    <t>셀트리온헬스케어</t>
    <phoneticPr fontId="1" type="noConversion"/>
  </si>
  <si>
    <t>씨젠</t>
    <phoneticPr fontId="1" type="noConversion"/>
  </si>
  <si>
    <t>에이치엘비</t>
    <phoneticPr fontId="1" type="noConversion"/>
  </si>
  <si>
    <t>알테오젠</t>
    <phoneticPr fontId="1" type="noConversion"/>
  </si>
  <si>
    <t>셀트리온제약</t>
    <phoneticPr fontId="1" type="noConversion"/>
  </si>
  <si>
    <t>카카오게임즈</t>
    <phoneticPr fontId="1" type="noConversion"/>
  </si>
  <si>
    <t>CJ ENM</t>
    <phoneticPr fontId="1" type="noConversion"/>
  </si>
  <si>
    <t>제넥신</t>
    <phoneticPr fontId="1" type="noConversion"/>
  </si>
  <si>
    <t>휴젤</t>
    <phoneticPr fontId="1" type="noConversion"/>
  </si>
  <si>
    <t>펄어비스</t>
    <phoneticPr fontId="1" type="noConversion"/>
  </si>
  <si>
    <t>케이엠더블유</t>
    <phoneticPr fontId="1" type="noConversion"/>
  </si>
  <si>
    <t>에코프로비엠</t>
    <phoneticPr fontId="1" type="noConversion"/>
  </si>
  <si>
    <t>SK머티리얼즈</t>
    <phoneticPr fontId="1" type="noConversion"/>
  </si>
  <si>
    <t>스튜디오드래곤</t>
    <phoneticPr fontId="1" type="noConversion"/>
  </si>
  <si>
    <t>메드팩토</t>
    <phoneticPr fontId="1" type="noConversion"/>
  </si>
  <si>
    <t>솔브레인</t>
    <phoneticPr fontId="1" type="noConversion"/>
  </si>
  <si>
    <t>리노공업</t>
    <phoneticPr fontId="1" type="noConversion"/>
  </si>
  <si>
    <t>콜마비앤에이치</t>
    <phoneticPr fontId="1" type="noConversion"/>
  </si>
  <si>
    <t>셀리버리</t>
    <phoneticPr fontId="1" type="noConversion"/>
  </si>
  <si>
    <t>원익IPS</t>
    <phoneticPr fontId="1" type="noConversion"/>
  </si>
  <si>
    <t>NHN한국사이버결제</t>
    <phoneticPr fontId="1" type="noConversion"/>
  </si>
  <si>
    <t>메지온</t>
    <phoneticPr fontId="1" type="noConversion"/>
  </si>
  <si>
    <t>컴투스</t>
    <phoneticPr fontId="1" type="noConversion"/>
  </si>
  <si>
    <t>천보</t>
    <phoneticPr fontId="1" type="noConversion"/>
  </si>
  <si>
    <t>에스에프에이</t>
    <phoneticPr fontId="1" type="noConversion"/>
  </si>
  <si>
    <t>동진쎄미켐</t>
    <phoneticPr fontId="1" type="noConversion"/>
  </si>
  <si>
    <t>레고켐바이오</t>
    <phoneticPr fontId="1" type="noConversion"/>
  </si>
  <si>
    <t>종목 뉴스</t>
    <phoneticPr fontId="1" type="noConversion"/>
  </si>
  <si>
    <t>제목</t>
    <phoneticPr fontId="1" type="noConversion"/>
  </si>
  <si>
    <t>정보제공</t>
    <phoneticPr fontId="1" type="noConversion"/>
  </si>
  <si>
    <t>링크</t>
    <phoneticPr fontId="1" type="noConversion"/>
  </si>
  <si>
    <t>2020.10.26</t>
  </si>
  <si>
    <t>박셀바이오</t>
    <phoneticPr fontId="1" type="noConversion"/>
  </si>
  <si>
    <t>[323990]</t>
    <phoneticPr fontId="1" type="noConversion"/>
  </si>
  <si>
    <t>나이벡</t>
    <phoneticPr fontId="1" type="noConversion"/>
  </si>
  <si>
    <t>[138610]</t>
    <phoneticPr fontId="1" type="noConversion"/>
  </si>
  <si>
    <t>시가총액(억원)</t>
    <phoneticPr fontId="1" type="noConversion"/>
  </si>
  <si>
    <t>2020.10.27</t>
  </si>
  <si>
    <t>대한해운</t>
    <phoneticPr fontId="1" type="noConversion"/>
  </si>
  <si>
    <t>[005880]</t>
    <phoneticPr fontId="1" type="noConversion"/>
  </si>
  <si>
    <t>에이치엘비제약</t>
    <phoneticPr fontId="1" type="noConversion"/>
  </si>
  <si>
    <t>2020.11.10</t>
  </si>
  <si>
    <t>2020.11.09</t>
  </si>
  <si>
    <t>2020.11.06</t>
  </si>
  <si>
    <t>2020.11.05</t>
  </si>
  <si>
    <t>2020.11.04</t>
  </si>
  <si>
    <t>2020.11.03</t>
  </si>
  <si>
    <t>2020.11.02</t>
  </si>
  <si>
    <t>2020.10.30</t>
  </si>
  <si>
    <t>2020.10.29</t>
  </si>
  <si>
    <t>2020.10.28</t>
  </si>
  <si>
    <t>네패스아크</t>
    <phoneticPr fontId="1" type="noConversion"/>
  </si>
  <si>
    <t>[330860]</t>
    <phoneticPr fontId="1" type="noConversion"/>
  </si>
  <si>
    <t>비덴트</t>
    <phoneticPr fontId="1" type="noConversion"/>
  </si>
  <si>
    <t>[121800]</t>
    <phoneticPr fontId="1" type="noConversion"/>
  </si>
  <si>
    <t>2020.11.17</t>
  </si>
  <si>
    <t>2020.11.16</t>
  </si>
  <si>
    <t>2020.11.13</t>
  </si>
  <si>
    <t>2020.11.12</t>
  </si>
  <si>
    <t>2020.11.11</t>
  </si>
  <si>
    <t>시가총액순위</t>
    <phoneticPr fontId="1" type="noConversion"/>
  </si>
  <si>
    <t>투자의견</t>
    <phoneticPr fontId="1" type="noConversion"/>
  </si>
  <si>
    <t>배당수익률</t>
    <phoneticPr fontId="1" type="noConversion"/>
  </si>
  <si>
    <t>목표주가</t>
    <phoneticPr fontId="1" type="noConversion"/>
  </si>
  <si>
    <t>투자정보</t>
    <phoneticPr fontId="1" type="noConversion"/>
  </si>
  <si>
    <t>고바이오랩</t>
    <phoneticPr fontId="1" type="noConversion"/>
  </si>
  <si>
    <t>[348150]</t>
    <phoneticPr fontId="1" type="noConversion"/>
  </si>
  <si>
    <t>2020.11.18</t>
  </si>
  <si>
    <t>현재가</t>
    <phoneticPr fontId="1" type="noConversion"/>
  </si>
  <si>
    <t>전일대비</t>
    <phoneticPr fontId="1" type="noConversion"/>
  </si>
  <si>
    <t>등락률</t>
    <phoneticPr fontId="1" type="noConversion"/>
  </si>
  <si>
    <t>전일가</t>
    <phoneticPr fontId="1" type="noConversion"/>
  </si>
  <si>
    <t>동일업종 등락률</t>
    <phoneticPr fontId="1" type="noConversion"/>
  </si>
  <si>
    <t>글쓴이</t>
    <phoneticPr fontId="1" type="noConversion"/>
  </si>
  <si>
    <t>기업소개</t>
    <phoneticPr fontId="1" type="noConversion"/>
  </si>
  <si>
    <t>종목토론실(최신순)</t>
    <phoneticPr fontId="1" type="noConversion"/>
  </si>
  <si>
    <t>ROE</t>
    <phoneticPr fontId="1" type="noConversion"/>
  </si>
  <si>
    <t>부채비율</t>
    <phoneticPr fontId="1" type="noConversion"/>
  </si>
  <si>
    <t>코리아센터</t>
    <phoneticPr fontId="1" type="noConversion"/>
  </si>
  <si>
    <t>[290510]</t>
    <phoneticPr fontId="1" type="noConversion"/>
  </si>
  <si>
    <t>2020.11.19</t>
  </si>
  <si>
    <t>표준편차(연)</t>
  </si>
  <si>
    <t>기대수익(연)</t>
  </si>
  <si>
    <t>넥스틴</t>
    <phoneticPr fontId="1" type="noConversion"/>
  </si>
  <si>
    <t>[348210]</t>
    <phoneticPr fontId="1" type="noConversion"/>
  </si>
  <si>
    <t>영업이익 증가율</t>
    <phoneticPr fontId="1" type="noConversion"/>
  </si>
  <si>
    <t>52주 최고가</t>
    <phoneticPr fontId="1" type="noConversion"/>
  </si>
  <si>
    <t>52주 최저가</t>
    <phoneticPr fontId="1" type="noConversion"/>
  </si>
  <si>
    <t>세방전지</t>
    <phoneticPr fontId="1" type="noConversion"/>
  </si>
  <si>
    <t>[004490]</t>
    <phoneticPr fontId="1" type="noConversion"/>
  </si>
  <si>
    <t>켐트로닉스</t>
    <phoneticPr fontId="1" type="noConversion"/>
  </si>
  <si>
    <t>[089010]</t>
    <phoneticPr fontId="1" type="noConversion"/>
  </si>
  <si>
    <t>ISC</t>
    <phoneticPr fontId="1" type="noConversion"/>
  </si>
  <si>
    <t>[095340]</t>
    <phoneticPr fontId="1" type="noConversion"/>
  </si>
  <si>
    <t>2020.11.23</t>
  </si>
  <si>
    <t>2020.11.20</t>
  </si>
  <si>
    <t>업종별 시세</t>
    <phoneticPr fontId="1" type="noConversion"/>
  </si>
  <si>
    <t>업종명</t>
    <phoneticPr fontId="1" type="noConversion"/>
  </si>
  <si>
    <t>조선</t>
    <phoneticPr fontId="1" type="noConversion"/>
  </si>
  <si>
    <t>해운사</t>
    <phoneticPr fontId="1" type="noConversion"/>
  </si>
  <si>
    <t>반도체와반도체장비</t>
    <phoneticPr fontId="1" type="noConversion"/>
  </si>
  <si>
    <t>증권</t>
    <phoneticPr fontId="1" type="noConversion"/>
  </si>
  <si>
    <t>철강</t>
    <phoneticPr fontId="1" type="noConversion"/>
  </si>
  <si>
    <t>전기장비</t>
    <phoneticPr fontId="1" type="noConversion"/>
  </si>
  <si>
    <t>문구류</t>
    <phoneticPr fontId="1" type="noConversion"/>
  </si>
  <si>
    <t>생명보험</t>
    <phoneticPr fontId="1" type="noConversion"/>
  </si>
  <si>
    <t>항공사</t>
    <phoneticPr fontId="1" type="noConversion"/>
  </si>
  <si>
    <t>기계</t>
    <phoneticPr fontId="1" type="noConversion"/>
  </si>
  <si>
    <t>자동차부품</t>
    <phoneticPr fontId="1" type="noConversion"/>
  </si>
  <si>
    <t>종이와목재</t>
    <phoneticPr fontId="1" type="noConversion"/>
  </si>
  <si>
    <t>디스플레이패널</t>
    <phoneticPr fontId="1" type="noConversion"/>
  </si>
  <si>
    <t>건강관리업체및서비스</t>
    <phoneticPr fontId="1" type="noConversion"/>
  </si>
  <si>
    <t>화학</t>
    <phoneticPr fontId="1" type="noConversion"/>
  </si>
  <si>
    <t>우주항공과국방</t>
    <phoneticPr fontId="1" type="noConversion"/>
  </si>
  <si>
    <t>전기유틸리티</t>
    <phoneticPr fontId="1" type="noConversion"/>
  </si>
  <si>
    <t>자동차</t>
    <phoneticPr fontId="1" type="noConversion"/>
  </si>
  <si>
    <t>전기제품</t>
    <phoneticPr fontId="1" type="noConversion"/>
  </si>
  <si>
    <t>은행</t>
    <phoneticPr fontId="1" type="noConversion"/>
  </si>
  <si>
    <t>비철금속</t>
    <phoneticPr fontId="1" type="noConversion"/>
  </si>
  <si>
    <t>창업투자</t>
    <phoneticPr fontId="1" type="noConversion"/>
  </si>
  <si>
    <t>건강관리기술</t>
    <phoneticPr fontId="1" type="noConversion"/>
  </si>
  <si>
    <t>기타</t>
    <phoneticPr fontId="1" type="noConversion"/>
  </si>
  <si>
    <t>복합유틸리티</t>
    <phoneticPr fontId="1" type="noConversion"/>
  </si>
  <si>
    <t>레저용장비와제품</t>
    <phoneticPr fontId="1" type="noConversion"/>
  </si>
  <si>
    <t>소프트웨어</t>
    <phoneticPr fontId="1" type="noConversion"/>
  </si>
  <si>
    <t>손해보험</t>
    <phoneticPr fontId="1" type="noConversion"/>
  </si>
  <si>
    <t>도로와철도운송</t>
    <phoneticPr fontId="1" type="noConversion"/>
  </si>
  <si>
    <t>무역회사와판매업체</t>
    <phoneticPr fontId="1" type="noConversion"/>
  </si>
  <si>
    <t>전자장비와기기</t>
    <phoneticPr fontId="1" type="noConversion"/>
  </si>
  <si>
    <t>석유와가스</t>
    <phoneticPr fontId="1" type="noConversion"/>
  </si>
  <si>
    <t>식품과기본식료품소매</t>
    <phoneticPr fontId="1" type="noConversion"/>
  </si>
  <si>
    <t>광고</t>
    <phoneticPr fontId="1" type="noConversion"/>
  </si>
  <si>
    <t>포장재</t>
    <phoneticPr fontId="1" type="noConversion"/>
  </si>
  <si>
    <t>부동산</t>
    <phoneticPr fontId="1" type="noConversion"/>
  </si>
  <si>
    <t>전문소매</t>
    <phoneticPr fontId="1" type="noConversion"/>
  </si>
  <si>
    <t>무선통신서비스</t>
    <phoneticPr fontId="1" type="noConversion"/>
  </si>
  <si>
    <t>항공화물운송과물류</t>
    <phoneticPr fontId="1" type="noConversion"/>
  </si>
  <si>
    <t>복합기업</t>
    <phoneticPr fontId="1" type="noConversion"/>
  </si>
  <si>
    <t>인터넷과카탈로그소매</t>
    <phoneticPr fontId="1" type="noConversion"/>
  </si>
  <si>
    <t>제약</t>
    <phoneticPr fontId="1" type="noConversion"/>
  </si>
  <si>
    <t>전자제품</t>
    <phoneticPr fontId="1" type="noConversion"/>
  </si>
  <si>
    <t>상업서비스와공급품</t>
    <phoneticPr fontId="1" type="noConversion"/>
  </si>
  <si>
    <t>카드</t>
    <phoneticPr fontId="1" type="noConversion"/>
  </si>
  <si>
    <t>가구</t>
    <phoneticPr fontId="1" type="noConversion"/>
  </si>
  <si>
    <t>생물공학</t>
    <phoneticPr fontId="1" type="noConversion"/>
  </si>
  <si>
    <t>호텔,레스토랑,레저</t>
    <phoneticPr fontId="1" type="noConversion"/>
  </si>
  <si>
    <t>다각화된통신서비스</t>
    <phoneticPr fontId="1" type="noConversion"/>
  </si>
  <si>
    <t>식품</t>
    <phoneticPr fontId="1" type="noConversion"/>
  </si>
  <si>
    <t>기타금융</t>
    <phoneticPr fontId="1" type="noConversion"/>
  </si>
  <si>
    <t>건강관리장비와용품</t>
    <phoneticPr fontId="1" type="noConversion"/>
  </si>
  <si>
    <t>양방향미디어와서비스</t>
    <phoneticPr fontId="1" type="noConversion"/>
  </si>
  <si>
    <t>화장품</t>
    <phoneticPr fontId="1" type="noConversion"/>
  </si>
  <si>
    <t>IT서비스</t>
    <phoneticPr fontId="1" type="noConversion"/>
  </si>
  <si>
    <t>건축자재</t>
    <phoneticPr fontId="1" type="noConversion"/>
  </si>
  <si>
    <t>판매업체</t>
    <phoneticPr fontId="1" type="noConversion"/>
  </si>
  <si>
    <t>건설</t>
    <phoneticPr fontId="1" type="noConversion"/>
  </si>
  <si>
    <t>게임엔터테인먼트</t>
    <phoneticPr fontId="1" type="noConversion"/>
  </si>
  <si>
    <t>통신장비</t>
    <phoneticPr fontId="1" type="noConversion"/>
  </si>
  <si>
    <t>디스플레이장비및부품</t>
    <phoneticPr fontId="1" type="noConversion"/>
  </si>
  <si>
    <t>가정용기기와용품</t>
    <phoneticPr fontId="1" type="noConversion"/>
  </si>
  <si>
    <t>가스유틸리티</t>
    <phoneticPr fontId="1" type="noConversion"/>
  </si>
  <si>
    <t>담배</t>
    <phoneticPr fontId="1" type="noConversion"/>
  </si>
  <si>
    <t>핸드셋</t>
    <phoneticPr fontId="1" type="noConversion"/>
  </si>
  <si>
    <t>교육서비스</t>
    <phoneticPr fontId="1" type="noConversion"/>
  </si>
  <si>
    <t>컴퓨터와주변기기</t>
    <phoneticPr fontId="1" type="noConversion"/>
  </si>
  <si>
    <t>운송인프라</t>
    <phoneticPr fontId="1" type="noConversion"/>
  </si>
  <si>
    <t>백화점과일반상점</t>
    <phoneticPr fontId="1" type="noConversion"/>
  </si>
  <si>
    <t>건축제품</t>
    <phoneticPr fontId="1" type="noConversion"/>
  </si>
  <si>
    <t>가정용품</t>
    <phoneticPr fontId="1" type="noConversion"/>
  </si>
  <si>
    <t>생명과학도구및서비스</t>
    <phoneticPr fontId="1" type="noConversion"/>
  </si>
  <si>
    <t>방송과엔터테인먼트</t>
    <phoneticPr fontId="1" type="noConversion"/>
  </si>
  <si>
    <t>섬유,의류,신발,호화품</t>
    <phoneticPr fontId="1" type="noConversion"/>
  </si>
  <si>
    <t>음료</t>
    <phoneticPr fontId="1" type="noConversion"/>
  </si>
  <si>
    <t>에너지장비및서비스</t>
    <phoneticPr fontId="1" type="noConversion"/>
  </si>
  <si>
    <t>사무용전자제품</t>
    <phoneticPr fontId="1" type="noConversion"/>
  </si>
  <si>
    <t>독립전력생산및에너지거래</t>
    <phoneticPr fontId="1" type="noConversion"/>
  </si>
  <si>
    <t>출판</t>
    <phoneticPr fontId="1" type="noConversion"/>
  </si>
  <si>
    <t>2020.11.26</t>
  </si>
  <si>
    <t>2020.11.25</t>
  </si>
  <si>
    <t>2020.11.24</t>
  </si>
  <si>
    <t>코스피 시세</t>
    <phoneticPr fontId="1" type="noConversion"/>
  </si>
  <si>
    <t>코스닥 시세</t>
    <phoneticPr fontId="1" type="noConversion"/>
  </si>
  <si>
    <t>시세</t>
    <phoneticPr fontId="1" type="noConversion"/>
  </si>
  <si>
    <t>전일대비 ㅣ 등락률</t>
    <phoneticPr fontId="1" type="noConversion"/>
  </si>
  <si>
    <t>전일비</t>
    <phoneticPr fontId="1" type="noConversion"/>
  </si>
  <si>
    <t>주가 상승 TOP 종목</t>
    <phoneticPr fontId="1" type="noConversion"/>
  </si>
  <si>
    <t>종목명 (코스피)</t>
    <phoneticPr fontId="1" type="noConversion"/>
  </si>
  <si>
    <t>종목명 (코스닥)</t>
    <phoneticPr fontId="1" type="noConversion"/>
  </si>
  <si>
    <t>2020.11.27</t>
  </si>
  <si>
    <t>이격도 과열 TOP 종목</t>
    <phoneticPr fontId="1" type="noConversion"/>
  </si>
  <si>
    <t>적정주가 예측</t>
    <phoneticPr fontId="1" type="noConversion"/>
  </si>
  <si>
    <t>평가방법</t>
    <phoneticPr fontId="1" type="noConversion"/>
  </si>
  <si>
    <t>현재가 비교</t>
    <phoneticPr fontId="1" type="noConversion"/>
  </si>
  <si>
    <t>예상 적정가</t>
    <phoneticPr fontId="1" type="noConversion"/>
  </si>
  <si>
    <t>공식</t>
    <phoneticPr fontId="1" type="noConversion"/>
  </si>
  <si>
    <t>단순 공식(시가총액 대비 주가)</t>
    <phoneticPr fontId="1" type="noConversion"/>
  </si>
  <si>
    <t>EPS(원)</t>
    <phoneticPr fontId="1" type="noConversion"/>
  </si>
  <si>
    <t>BPS(원)</t>
    <phoneticPr fontId="1" type="noConversion"/>
  </si>
  <si>
    <t>PBR(배)</t>
    <phoneticPr fontId="1" type="noConversion"/>
  </si>
  <si>
    <t>PER(배)</t>
    <phoneticPr fontId="1" type="noConversion"/>
  </si>
  <si>
    <t>동일업종 PER(배)</t>
    <phoneticPr fontId="1" type="noConversion"/>
  </si>
  <si>
    <t>매출액(억원)</t>
    <phoneticPr fontId="1" type="noConversion"/>
  </si>
  <si>
    <t>영업이익(억원)</t>
    <phoneticPr fontId="1" type="noConversion"/>
  </si>
  <si>
    <t>당기순이익(억원)</t>
    <phoneticPr fontId="1" type="noConversion"/>
  </si>
  <si>
    <t>액면가(원)</t>
    <phoneticPr fontId="1" type="noConversion"/>
  </si>
  <si>
    <t>단순 공식(주가)</t>
    <phoneticPr fontId="1" type="noConversion"/>
  </si>
  <si>
    <t>EPS * ROE(%) * 100 = 적정주가</t>
    <phoneticPr fontId="1" type="noConversion"/>
  </si>
  <si>
    <t>영업이익 또는 당기순이익 * ROE(%) * 100 = 적정시가총액</t>
    <phoneticPr fontId="1" type="noConversion"/>
  </si>
  <si>
    <t>외국인소진(=취득)률</t>
    <phoneticPr fontId="1" type="noConversion"/>
  </si>
  <si>
    <t>EPS * (PER * (1 + 배당률(%)) / 2) = 적정주가</t>
    <phoneticPr fontId="1" type="noConversion"/>
  </si>
  <si>
    <t>배당률 공식</t>
    <phoneticPr fontId="1" type="noConversion"/>
  </si>
  <si>
    <t>스팟 가격 공식</t>
    <phoneticPr fontId="1" type="noConversion"/>
  </si>
  <si>
    <r>
      <t xml:space="preserve">(52주 최저가 * 52주 최고가) * 0.5 * </t>
    </r>
    <r>
      <rPr>
        <sz val="11"/>
        <color theme="1"/>
        <rFont val="Calibri"/>
        <family val="3"/>
        <charset val="161"/>
      </rPr>
      <t>α</t>
    </r>
    <r>
      <rPr>
        <sz val="11"/>
        <color theme="1"/>
        <rFont val="맑은 고딕"/>
        <family val="2"/>
        <charset val="129"/>
        <scheme val="minor"/>
      </rPr>
      <t xml:space="preserve"> = 적정주가</t>
    </r>
    <phoneticPr fontId="1" type="noConversion"/>
  </si>
  <si>
    <t>요구수익률(BBB- 회사채)</t>
    <phoneticPr fontId="1" type="noConversion"/>
  </si>
  <si>
    <t>BPS * ROE / (요구수익률(%) - 배당률(%)) = 적정주가</t>
    <phoneticPr fontId="1" type="noConversion"/>
  </si>
  <si>
    <t>배당률</t>
    <phoneticPr fontId="1" type="noConversion"/>
  </si>
  <si>
    <t>BPS * ROE / 요구수익률(%) + EPS * (배당률(%) / 요구수익률(%)) / 1 = 적정주가</t>
    <phoneticPr fontId="1" type="noConversion"/>
  </si>
  <si>
    <t>고평가</t>
    <phoneticPr fontId="1" type="noConversion"/>
  </si>
  <si>
    <t>BPS * ROE / 요구수익률(%) + EPS * (ROE(%) - 요구수익률(%)) / 2 = 적정주가</t>
    <phoneticPr fontId="1" type="noConversion"/>
  </si>
  <si>
    <t>(EPS * 6 + BPS / 4 + 배당금 * 4) * (ROE(%) / 요구수익률(%)) = 적정주가</t>
    <phoneticPr fontId="1" type="noConversion"/>
  </si>
  <si>
    <t>요구수익률과 배당률, ROE 공식
(BED 공식 활용)</t>
    <phoneticPr fontId="1" type="noConversion"/>
  </si>
  <si>
    <t>상장주식수</t>
    <phoneticPr fontId="1" type="noConversion"/>
  </si>
  <si>
    <t>목표시가총액 공식</t>
    <phoneticPr fontId="1" type="noConversion"/>
  </si>
  <si>
    <t>(당기순이익 * PER) / 상장주식수 = 적정주가</t>
    <phoneticPr fontId="1" type="noConversion"/>
  </si>
  <si>
    <t>2020.11.30</t>
  </si>
  <si>
    <t>2020.12.01</t>
  </si>
  <si>
    <t>1일 후</t>
  </si>
  <si>
    <t>2일 후</t>
  </si>
  <si>
    <t>3일 후</t>
  </si>
  <si>
    <t>4일 후</t>
  </si>
  <si>
    <t>5일 후</t>
  </si>
  <si>
    <t>6일 후</t>
  </si>
  <si>
    <t>7일 후</t>
  </si>
  <si>
    <t>8일 후</t>
  </si>
  <si>
    <t>9일 후</t>
  </si>
  <si>
    <t>10일 후</t>
  </si>
  <si>
    <t>11일 후</t>
  </si>
  <si>
    <t>12일 후</t>
  </si>
  <si>
    <t>13일 후</t>
  </si>
  <si>
    <t>14일 후</t>
  </si>
  <si>
    <t>15일 후</t>
  </si>
  <si>
    <t>16일 후</t>
  </si>
  <si>
    <t>17일 후</t>
  </si>
  <si>
    <t>18일 후</t>
  </si>
  <si>
    <t>19일 후</t>
  </si>
  <si>
    <t>20일 후</t>
  </si>
  <si>
    <t>21일 후</t>
  </si>
  <si>
    <t>22일 후</t>
  </si>
  <si>
    <t>23일 후</t>
  </si>
  <si>
    <t>24일 후</t>
  </si>
  <si>
    <t>25일 후</t>
  </si>
  <si>
    <t>26일 후</t>
  </si>
  <si>
    <t>27일 후</t>
  </si>
  <si>
    <t>28일 후</t>
  </si>
  <si>
    <t>29일 후</t>
  </si>
  <si>
    <t>30일 후</t>
  </si>
  <si>
    <t>31일 후</t>
  </si>
  <si>
    <t>32일 후</t>
  </si>
  <si>
    <t>33일 후</t>
  </si>
  <si>
    <t>34일 후</t>
  </si>
  <si>
    <t>35일 후</t>
  </si>
  <si>
    <t>36일 후</t>
  </si>
  <si>
    <t>37일 후</t>
  </si>
  <si>
    <t>38일 후</t>
  </si>
  <si>
    <t>39일 후</t>
  </si>
  <si>
    <t>40일 후</t>
  </si>
  <si>
    <t>41일 후</t>
  </si>
  <si>
    <t>42일 후</t>
  </si>
  <si>
    <t>43일 후</t>
  </si>
  <si>
    <t>44일 후</t>
  </si>
  <si>
    <t>45일 후</t>
  </si>
  <si>
    <t>46일 후</t>
  </si>
  <si>
    <t>47일 후</t>
  </si>
  <si>
    <t>48일 후</t>
  </si>
  <si>
    <t>49일 후</t>
  </si>
  <si>
    <t>50일 후</t>
  </si>
  <si>
    <t>51일 후</t>
  </si>
  <si>
    <t>52일 후</t>
  </si>
  <si>
    <t>53일 후</t>
  </si>
  <si>
    <t>54일 후</t>
  </si>
  <si>
    <t>55일 후</t>
  </si>
  <si>
    <t>56일 후</t>
  </si>
  <si>
    <t>57일 후</t>
  </si>
  <si>
    <t>58일 후</t>
  </si>
  <si>
    <t>59일 후</t>
  </si>
  <si>
    <t>60일 후</t>
  </si>
  <si>
    <t>61일 후</t>
  </si>
  <si>
    <t>62일 후</t>
  </si>
  <si>
    <t>63일 후</t>
  </si>
  <si>
    <t>64일 후</t>
  </si>
  <si>
    <t>65일 후</t>
  </si>
  <si>
    <t>66일 후</t>
  </si>
  <si>
    <t>67일 후</t>
  </si>
  <si>
    <t>68일 후</t>
  </si>
  <si>
    <t>69일 후</t>
  </si>
  <si>
    <t>70일 후</t>
  </si>
  <si>
    <t>71일 후</t>
  </si>
  <si>
    <t>72일 후</t>
  </si>
  <si>
    <t>73일 후</t>
  </si>
  <si>
    <t>74일 후</t>
  </si>
  <si>
    <t>75일 후</t>
  </si>
  <si>
    <t>76일 후</t>
  </si>
  <si>
    <t>77일 후</t>
  </si>
  <si>
    <t>78일 후</t>
  </si>
  <si>
    <t>79일 후</t>
  </si>
  <si>
    <t>80일 후</t>
  </si>
  <si>
    <t>81일 후</t>
  </si>
  <si>
    <t>82일 후</t>
  </si>
  <si>
    <t>83일 후</t>
  </si>
  <si>
    <t>84일 후</t>
  </si>
  <si>
    <t>85일 후</t>
  </si>
  <si>
    <t>86일 후</t>
  </si>
  <si>
    <t>87일 후</t>
  </si>
  <si>
    <t>88일 후</t>
  </si>
  <si>
    <t>89일 후</t>
  </si>
  <si>
    <t>90일 후</t>
  </si>
  <si>
    <t>91일 후</t>
  </si>
  <si>
    <t>92일 후</t>
  </si>
  <si>
    <t>93일 후</t>
  </si>
  <si>
    <t>94일 후</t>
  </si>
  <si>
    <t>95일 후</t>
  </si>
  <si>
    <t>96일 후</t>
  </si>
  <si>
    <t>97일 후</t>
  </si>
  <si>
    <t>98일 후</t>
  </si>
  <si>
    <t>99일 후</t>
  </si>
  <si>
    <t>100일 후</t>
  </si>
  <si>
    <t>101일 후</t>
  </si>
  <si>
    <t>102일 후</t>
  </si>
  <si>
    <t>103일 후</t>
  </si>
  <si>
    <t>104일 후</t>
  </si>
  <si>
    <t>105일 후</t>
  </si>
  <si>
    <t>106일 후</t>
  </si>
  <si>
    <t>107일 후</t>
  </si>
  <si>
    <t>108일 후</t>
  </si>
  <si>
    <t>109일 후</t>
  </si>
  <si>
    <t>110일 후</t>
  </si>
  <si>
    <t>111일 후</t>
  </si>
  <si>
    <t>112일 후</t>
  </si>
  <si>
    <t>113일 후</t>
  </si>
  <si>
    <t>114일 후</t>
  </si>
  <si>
    <t>115일 후</t>
  </si>
  <si>
    <t>116일 후</t>
  </si>
  <si>
    <t>117일 후</t>
  </si>
  <si>
    <t>118일 후</t>
  </si>
  <si>
    <t>119일 후</t>
  </si>
  <si>
    <t>120일 후</t>
  </si>
  <si>
    <t>121일 후</t>
  </si>
  <si>
    <t>122일 후</t>
  </si>
  <si>
    <t>123일 후</t>
  </si>
  <si>
    <t>124일 후</t>
  </si>
  <si>
    <t>125일 후</t>
  </si>
  <si>
    <t>126일 후</t>
  </si>
  <si>
    <t>127일 후</t>
  </si>
  <si>
    <t>128일 후</t>
  </si>
  <si>
    <t>129일 후</t>
  </si>
  <si>
    <t>130일 후</t>
  </si>
  <si>
    <t>131일 후</t>
  </si>
  <si>
    <t>132일 후</t>
  </si>
  <si>
    <t>133일 후</t>
  </si>
  <si>
    <t>134일 후</t>
  </si>
  <si>
    <t>135일 후</t>
  </si>
  <si>
    <t>136일 후</t>
  </si>
  <si>
    <t>137일 후</t>
  </si>
  <si>
    <t>138일 후</t>
  </si>
  <si>
    <t>139일 후</t>
  </si>
  <si>
    <t>140일 후</t>
  </si>
  <si>
    <t>141일 후</t>
  </si>
  <si>
    <t>142일 후</t>
  </si>
  <si>
    <t>143일 후</t>
  </si>
  <si>
    <t>144일 후</t>
  </si>
  <si>
    <t>145일 후</t>
  </si>
  <si>
    <t>146일 후</t>
  </si>
  <si>
    <t>147일 후</t>
  </si>
  <si>
    <t>148일 후</t>
  </si>
  <si>
    <t>149일 후</t>
  </si>
  <si>
    <t>150일 후</t>
  </si>
  <si>
    <t>151일 후</t>
  </si>
  <si>
    <t>152일 후</t>
  </si>
  <si>
    <t>153일 후</t>
  </si>
  <si>
    <t>154일 후</t>
  </si>
  <si>
    <t>155일 후</t>
  </si>
  <si>
    <t>156일 후</t>
  </si>
  <si>
    <t>157일 후</t>
  </si>
  <si>
    <t>158일 후</t>
  </si>
  <si>
    <t>159일 후</t>
  </si>
  <si>
    <t>160일 후</t>
  </si>
  <si>
    <t>161일 후</t>
  </si>
  <si>
    <t>162일 후</t>
  </si>
  <si>
    <t>163일 후</t>
  </si>
  <si>
    <t>164일 후</t>
  </si>
  <si>
    <t>165일 후</t>
  </si>
  <si>
    <t>166일 후</t>
  </si>
  <si>
    <t>167일 후</t>
  </si>
  <si>
    <t>168일 후</t>
  </si>
  <si>
    <t>169일 후</t>
  </si>
  <si>
    <t>170일 후</t>
  </si>
  <si>
    <t>171일 후</t>
  </si>
  <si>
    <t>172일 후</t>
  </si>
  <si>
    <t>173일 후</t>
  </si>
  <si>
    <t>174일 후</t>
  </si>
  <si>
    <t>175일 후</t>
  </si>
  <si>
    <t>176일 후</t>
  </si>
  <si>
    <t>177일 후</t>
  </si>
  <si>
    <t>178일 후</t>
  </si>
  <si>
    <t>179일 후</t>
  </si>
  <si>
    <t>180일 후</t>
  </si>
  <si>
    <t>181일 후</t>
  </si>
  <si>
    <t>182일 후</t>
  </si>
  <si>
    <t>183일 후</t>
  </si>
  <si>
    <t>184일 후</t>
  </si>
  <si>
    <t>185일 후</t>
  </si>
  <si>
    <t>186일 후</t>
  </si>
  <si>
    <t>187일 후</t>
  </si>
  <si>
    <t>188일 후</t>
  </si>
  <si>
    <t>189일 후</t>
  </si>
  <si>
    <t>190일 후</t>
  </si>
  <si>
    <t>191일 후</t>
  </si>
  <si>
    <t>192일 후</t>
  </si>
  <si>
    <t>193일 후</t>
  </si>
  <si>
    <t>194일 후</t>
  </si>
  <si>
    <t>195일 후</t>
  </si>
  <si>
    <t>196일 후</t>
  </si>
  <si>
    <t>197일 후</t>
  </si>
  <si>
    <t>198일 후</t>
  </si>
  <si>
    <t>199일 후</t>
  </si>
  <si>
    <t>200일 후</t>
  </si>
  <si>
    <t>201일 후</t>
  </si>
  <si>
    <t>202일 후</t>
  </si>
  <si>
    <t>203일 후</t>
  </si>
  <si>
    <t>204일 후</t>
  </si>
  <si>
    <t>205일 후</t>
  </si>
  <si>
    <t>206일 후</t>
  </si>
  <si>
    <t>207일 후</t>
  </si>
  <si>
    <t>208일 후</t>
  </si>
  <si>
    <t>209일 후</t>
  </si>
  <si>
    <t>210일 후</t>
  </si>
  <si>
    <t>211일 후</t>
  </si>
  <si>
    <t>212일 후</t>
  </si>
  <si>
    <t>213일 후</t>
  </si>
  <si>
    <t>214일 후</t>
  </si>
  <si>
    <t>215일 후</t>
  </si>
  <si>
    <t>216일 후</t>
  </si>
  <si>
    <t>217일 후</t>
  </si>
  <si>
    <t>218일 후</t>
  </si>
  <si>
    <t>219일 후</t>
  </si>
  <si>
    <t>220일 후</t>
  </si>
  <si>
    <t>221일 후</t>
  </si>
  <si>
    <t>222일 후</t>
  </si>
  <si>
    <t>223일 후</t>
  </si>
  <si>
    <t>224일 후</t>
  </si>
  <si>
    <t>225일 후</t>
  </si>
  <si>
    <t>226일 후</t>
  </si>
  <si>
    <t>227일 후</t>
  </si>
  <si>
    <t>228일 후</t>
  </si>
  <si>
    <t>229일 후</t>
  </si>
  <si>
    <t>230일 후</t>
  </si>
  <si>
    <t>231일 후</t>
  </si>
  <si>
    <t>232일 후</t>
  </si>
  <si>
    <t>233일 후</t>
  </si>
  <si>
    <t>234일 후</t>
  </si>
  <si>
    <t>235일 후</t>
  </si>
  <si>
    <t>236일 후</t>
  </si>
  <si>
    <t>237일 후</t>
  </si>
  <si>
    <t>238일 후</t>
  </si>
  <si>
    <t>239일 후</t>
  </si>
  <si>
    <t>240일 후</t>
  </si>
  <si>
    <t>241일 후</t>
  </si>
  <si>
    <t>242일 후</t>
  </si>
  <si>
    <t>243일 후</t>
  </si>
  <si>
    <t>244일 후</t>
  </si>
  <si>
    <t>245일 후</t>
  </si>
  <si>
    <t>246일 후</t>
  </si>
  <si>
    <t>247일 후</t>
  </si>
  <si>
    <t>248일 후</t>
  </si>
  <si>
    <t>249일 후</t>
  </si>
  <si>
    <t>250일 후</t>
  </si>
  <si>
    <t>251일 후</t>
  </si>
  <si>
    <t>252일 후</t>
  </si>
  <si>
    <t>253일 후</t>
  </si>
  <si>
    <t>254일 후</t>
  </si>
  <si>
    <t>255일 후</t>
  </si>
  <si>
    <t>256일 후</t>
  </si>
  <si>
    <t>257일 후</t>
  </si>
  <si>
    <t>258일 후</t>
  </si>
  <si>
    <t>259일 후</t>
  </si>
  <si>
    <t>260일 후</t>
  </si>
  <si>
    <t>261일 후</t>
  </si>
  <si>
    <t>262일 후</t>
  </si>
  <si>
    <t>263일 후</t>
  </si>
  <si>
    <t>264일 후</t>
  </si>
  <si>
    <t>265일 후</t>
  </si>
  <si>
    <t>266일 후</t>
  </si>
  <si>
    <t>267일 후</t>
  </si>
  <si>
    <t>268일 후</t>
  </si>
  <si>
    <t>269일 후</t>
  </si>
  <si>
    <t>270일 후</t>
  </si>
  <si>
    <t>271일 후</t>
  </si>
  <si>
    <t>272일 후</t>
  </si>
  <si>
    <t>273일 후</t>
  </si>
  <si>
    <t>274일 후</t>
  </si>
  <si>
    <t>275일 후</t>
  </si>
  <si>
    <t>276일 후</t>
  </si>
  <si>
    <t>277일 후</t>
  </si>
  <si>
    <t>278일 후</t>
  </si>
  <si>
    <t>279일 후</t>
  </si>
  <si>
    <t>280일 후</t>
  </si>
  <si>
    <t>281일 후</t>
  </si>
  <si>
    <t>282일 후</t>
  </si>
  <si>
    <t>283일 후</t>
  </si>
  <si>
    <t>284일 후</t>
  </si>
  <si>
    <t>285일 후</t>
  </si>
  <si>
    <t>286일 후</t>
  </si>
  <si>
    <t>287일 후</t>
  </si>
  <si>
    <t>288일 후</t>
  </si>
  <si>
    <t>289일 후</t>
  </si>
  <si>
    <t>290일 후</t>
  </si>
  <si>
    <t>291일 후</t>
  </si>
  <si>
    <t>292일 후</t>
  </si>
  <si>
    <t>293일 후</t>
  </si>
  <si>
    <t>294일 후</t>
  </si>
  <si>
    <t>295일 후</t>
  </si>
  <si>
    <t>296일 후</t>
  </si>
  <si>
    <t>297일 후</t>
  </si>
  <si>
    <t>298일 후</t>
  </si>
  <si>
    <t>299일 후</t>
  </si>
  <si>
    <t>300일 후</t>
  </si>
  <si>
    <t>예상종가</t>
  </si>
  <si>
    <t>진에어</t>
    <phoneticPr fontId="1" type="noConversion"/>
  </si>
  <si>
    <t>[272450]</t>
    <phoneticPr fontId="1" type="noConversion"/>
  </si>
  <si>
    <t>심텍</t>
    <phoneticPr fontId="1" type="noConversion"/>
  </si>
  <si>
    <t>[222800]</t>
    <phoneticPr fontId="1" type="noConversion"/>
  </si>
  <si>
    <t>이엔드디</t>
    <phoneticPr fontId="1" type="noConversion"/>
  </si>
  <si>
    <t>[101360]</t>
    <phoneticPr fontId="1" type="noConversion"/>
  </si>
  <si>
    <t xml:space="preserve">상승50 </t>
  </si>
  <si>
    <t xml:space="preserve">하락50 </t>
  </si>
  <si>
    <t>2020.12.03</t>
  </si>
  <si>
    <t>2020.12.02</t>
  </si>
  <si>
    <t>미원상사</t>
    <phoneticPr fontId="1" type="noConversion"/>
  </si>
  <si>
    <t>[002840]</t>
    <phoneticPr fontId="1" type="noConversion"/>
  </si>
  <si>
    <t>키네마스터</t>
    <phoneticPr fontId="1" type="noConversion"/>
  </si>
  <si>
    <t>[139670]</t>
    <phoneticPr fontId="1" type="noConversion"/>
  </si>
  <si>
    <t>N/A</t>
    <phoneticPr fontId="1" type="noConversion"/>
  </si>
  <si>
    <t>2020.12.04</t>
  </si>
  <si>
    <t>명신산업</t>
    <phoneticPr fontId="1" type="noConversion"/>
  </si>
  <si>
    <t>[009900]</t>
    <phoneticPr fontId="1" type="noConversion"/>
  </si>
  <si>
    <t>포인트모바일</t>
    <phoneticPr fontId="1" type="noConversion"/>
  </si>
  <si>
    <t>[318020]</t>
    <phoneticPr fontId="1" type="noConversion"/>
  </si>
  <si>
    <t>한양이엔지</t>
    <phoneticPr fontId="1" type="noConversion"/>
  </si>
  <si>
    <t>[045100]</t>
    <phoneticPr fontId="1" type="noConversion"/>
  </si>
  <si>
    <t xml:space="preserve">하락150 </t>
  </si>
  <si>
    <t>2020.12.14</t>
  </si>
  <si>
    <t>2020.12.11</t>
  </si>
  <si>
    <t>2020.12.10</t>
  </si>
  <si>
    <t>2020.12.09</t>
  </si>
  <si>
    <t>2020.12.08</t>
  </si>
  <si>
    <t>2020.12.07</t>
  </si>
  <si>
    <t>대덕전자</t>
    <phoneticPr fontId="1" type="noConversion"/>
  </si>
  <si>
    <t>[353200]</t>
    <phoneticPr fontId="1" type="noConversion"/>
  </si>
  <si>
    <t>인텔리안테크</t>
    <phoneticPr fontId="1" type="noConversion"/>
  </si>
  <si>
    <t>[189300]</t>
    <phoneticPr fontId="1" type="noConversion"/>
  </si>
  <si>
    <t>큐리언트</t>
    <phoneticPr fontId="1" type="noConversion"/>
  </si>
  <si>
    <t>[115180]</t>
    <phoneticPr fontId="1" type="noConversion"/>
  </si>
  <si>
    <t xml:space="preserve">상승150 </t>
  </si>
  <si>
    <t xml:space="preserve">상승100 </t>
  </si>
  <si>
    <t>2020.12.18</t>
  </si>
  <si>
    <t>2020.12.17</t>
  </si>
  <si>
    <t>2020.12.16</t>
  </si>
  <si>
    <t>2020.12.15</t>
  </si>
  <si>
    <t xml:space="preserve">187870 : 2020-12-19 45,550 </t>
    <phoneticPr fontId="1" type="noConversion"/>
  </si>
  <si>
    <t>솔루스첨단소재</t>
    <phoneticPr fontId="1" type="noConversion"/>
  </si>
  <si>
    <t>ESR켄달스퀘어리츠</t>
    <phoneticPr fontId="1" type="noConversion"/>
  </si>
  <si>
    <t>[365550]</t>
    <phoneticPr fontId="1" type="noConversion"/>
  </si>
  <si>
    <t>케이씨씨글라스</t>
    <phoneticPr fontId="1" type="noConversion"/>
  </si>
  <si>
    <t>[344820]</t>
    <phoneticPr fontId="1" type="noConversion"/>
  </si>
  <si>
    <t>지놈앤컴퍼니</t>
    <phoneticPr fontId="1" type="noConversion"/>
  </si>
  <si>
    <t>[314130]</t>
    <phoneticPr fontId="1" type="noConversion"/>
  </si>
  <si>
    <t>알체라</t>
    <phoneticPr fontId="1" type="noConversion"/>
  </si>
  <si>
    <t>[347860]</t>
    <phoneticPr fontId="1" type="noConversion"/>
  </si>
  <si>
    <t>엘앤케이바이오</t>
    <phoneticPr fontId="1" type="noConversion"/>
  </si>
  <si>
    <t>[156100]</t>
    <phoneticPr fontId="1" type="noConversion"/>
  </si>
  <si>
    <t>하나기술</t>
    <phoneticPr fontId="1" type="noConversion"/>
  </si>
  <si>
    <t>[299030]</t>
    <phoneticPr fontId="1" type="noConversion"/>
  </si>
  <si>
    <t>피씨엘</t>
    <phoneticPr fontId="1" type="noConversion"/>
  </si>
  <si>
    <t>[241820]</t>
    <phoneticPr fontId="1" type="noConversion"/>
  </si>
  <si>
    <t>서희건설</t>
    <phoneticPr fontId="1" type="noConversion"/>
  </si>
  <si>
    <t>[035890]</t>
    <phoneticPr fontId="1" type="noConversion"/>
  </si>
  <si>
    <t>에이스토리</t>
    <phoneticPr fontId="1" type="noConversion"/>
  </si>
  <si>
    <t>[241840]</t>
    <phoneticPr fontId="1" type="noConversion"/>
  </si>
  <si>
    <t>2020.12.24</t>
  </si>
  <si>
    <t>2020.12.23</t>
  </si>
  <si>
    <t>2020.12.22</t>
  </si>
  <si>
    <t>2020.12.21</t>
  </si>
  <si>
    <t>평가방법</t>
    <phoneticPr fontId="1" type="noConversion"/>
  </si>
  <si>
    <t>예상 적정가</t>
    <phoneticPr fontId="1" type="noConversion"/>
  </si>
  <si>
    <t>현재가 비교</t>
    <phoneticPr fontId="1" type="noConversion"/>
  </si>
  <si>
    <t>공식</t>
    <phoneticPr fontId="1" type="noConversion"/>
  </si>
  <si>
    <t>EPS * PER = 적정주가</t>
    <phoneticPr fontId="1" type="noConversion"/>
  </si>
  <si>
    <t>배당금 / 배당수익률 = 적정주가</t>
    <phoneticPr fontId="1" type="noConversion"/>
  </si>
  <si>
    <t>EPS * 동종 산업의 평균 PER = 적정주가</t>
    <phoneticPr fontId="1" type="noConversion"/>
  </si>
  <si>
    <t>(ROE(%단위는 무시) * EPS) / 2 = 적정주가</t>
    <phoneticPr fontId="1" type="noConversion"/>
  </si>
  <si>
    <t>(BPS * (1+ ROE(%)) ^ 5) / ((1+ 요구수익률(%)) ^ 5) = 적정주가</t>
    <phoneticPr fontId="1" type="noConversion"/>
  </si>
  <si>
    <t>기본 공식</t>
    <phoneticPr fontId="1" type="noConversion"/>
  </si>
  <si>
    <t>PER활용 공식</t>
    <phoneticPr fontId="1" type="noConversion"/>
  </si>
  <si>
    <t>네프상수 활용 공식</t>
    <phoneticPr fontId="1" type="noConversion"/>
  </si>
  <si>
    <t>DCF(5년) 활용 공식</t>
    <phoneticPr fontId="1" type="noConversion"/>
  </si>
  <si>
    <t>배당 공식</t>
    <phoneticPr fontId="1" type="noConversion"/>
  </si>
  <si>
    <t>저평가</t>
    <phoneticPr fontId="1" type="noConversion"/>
  </si>
  <si>
    <t>제이콘텐트리</t>
    <phoneticPr fontId="1" type="noConversion"/>
  </si>
  <si>
    <t>[036420]</t>
    <phoneticPr fontId="1" type="noConversion"/>
  </si>
  <si>
    <t>미원에스씨</t>
    <phoneticPr fontId="1" type="noConversion"/>
  </si>
  <si>
    <t>[268280]</t>
    <phoneticPr fontId="1" type="noConversion"/>
  </si>
  <si>
    <t>엠투엔</t>
    <phoneticPr fontId="1" type="noConversion"/>
  </si>
  <si>
    <t>[033310]</t>
    <phoneticPr fontId="1" type="noConversion"/>
  </si>
  <si>
    <t>하나마이크론</t>
    <phoneticPr fontId="1" type="noConversion"/>
  </si>
  <si>
    <t>[067310]</t>
    <phoneticPr fontId="1" type="noConversion"/>
  </si>
  <si>
    <t>아시아경제</t>
    <phoneticPr fontId="1" type="noConversion"/>
  </si>
  <si>
    <t>TIGER TOP10</t>
    <phoneticPr fontId="1" type="noConversion"/>
  </si>
  <si>
    <t>[292150]</t>
    <phoneticPr fontId="1" type="noConversion"/>
  </si>
  <si>
    <t>코미코</t>
    <phoneticPr fontId="1" type="noConversion"/>
  </si>
  <si>
    <t>[183300]</t>
    <phoneticPr fontId="1" type="noConversion"/>
  </si>
  <si>
    <t xml:space="preserve">상승350 </t>
  </si>
  <si>
    <t xml:space="preserve">하락250 </t>
  </si>
  <si>
    <t xml:space="preserve">하락700 </t>
  </si>
  <si>
    <t xml:space="preserve">상승400 </t>
  </si>
  <si>
    <t>2020.12.30</t>
  </si>
  <si>
    <t>2020.12.29</t>
  </si>
  <si>
    <t>2020.12.28</t>
  </si>
  <si>
    <t>매일경제</t>
    <phoneticPr fontId="1" type="noConversion"/>
  </si>
  <si>
    <t>삼성SDI우</t>
    <phoneticPr fontId="1" type="noConversion"/>
  </si>
  <si>
    <t>[006405]</t>
    <phoneticPr fontId="1" type="noConversion"/>
  </si>
  <si>
    <t>한화투자증권</t>
    <phoneticPr fontId="1" type="noConversion"/>
  </si>
  <si>
    <t>[003530]</t>
    <phoneticPr fontId="1" type="noConversion"/>
  </si>
  <si>
    <t>효성화학</t>
    <phoneticPr fontId="1" type="noConversion"/>
  </si>
  <si>
    <t>[298000]</t>
    <phoneticPr fontId="1" type="noConversion"/>
  </si>
  <si>
    <t>넷게임즈</t>
    <phoneticPr fontId="1" type="noConversion"/>
  </si>
  <si>
    <t>[225570]</t>
    <phoneticPr fontId="1" type="noConversion"/>
  </si>
  <si>
    <t>동신건설</t>
    <phoneticPr fontId="1" type="noConversion"/>
  </si>
  <si>
    <t>[025950]</t>
    <phoneticPr fontId="1" type="noConversion"/>
  </si>
  <si>
    <t>아이에이</t>
    <phoneticPr fontId="1" type="noConversion"/>
  </si>
  <si>
    <t>[038880]</t>
    <phoneticPr fontId="1" type="noConversion"/>
  </si>
  <si>
    <t>싸이토젠</t>
    <phoneticPr fontId="1" type="noConversion"/>
  </si>
  <si>
    <t>[217330]</t>
    <phoneticPr fontId="1" type="noConversion"/>
  </si>
  <si>
    <t>루트로닉</t>
    <phoneticPr fontId="1" type="noConversion"/>
  </si>
  <si>
    <t>[085370]</t>
    <phoneticPr fontId="1" type="noConversion"/>
  </si>
  <si>
    <t>에스티아이</t>
    <phoneticPr fontId="1" type="noConversion"/>
  </si>
  <si>
    <t>[039440]</t>
    <phoneticPr fontId="1" type="noConversion"/>
  </si>
  <si>
    <t>KTH</t>
    <phoneticPr fontId="1" type="noConversion"/>
  </si>
  <si>
    <t>[036030]</t>
    <phoneticPr fontId="1" type="noConversion"/>
  </si>
  <si>
    <t>서울경제</t>
    <phoneticPr fontId="1" type="noConversion"/>
  </si>
  <si>
    <t>이데일리</t>
    <phoneticPr fontId="1" type="noConversion"/>
  </si>
  <si>
    <t>헤럴드경제</t>
    <phoneticPr fontId="1" type="noConversion"/>
  </si>
  <si>
    <t>SK바이오사이언스</t>
    <phoneticPr fontId="1" type="noConversion"/>
  </si>
  <si>
    <t>[302440]</t>
    <phoneticPr fontId="1" type="noConversion"/>
  </si>
  <si>
    <t>DL이앤씨</t>
    <phoneticPr fontId="1" type="noConversion"/>
  </si>
  <si>
    <t>[375500]</t>
    <phoneticPr fontId="1" type="noConversion"/>
  </si>
  <si>
    <t>프레스티지바이오파마</t>
    <phoneticPr fontId="1" type="noConversion"/>
  </si>
  <si>
    <t>[950210]</t>
    <phoneticPr fontId="1" type="noConversion"/>
  </si>
  <si>
    <t>한국앤컴퍼니</t>
    <phoneticPr fontId="1" type="noConversion"/>
  </si>
  <si>
    <t>DL</t>
    <phoneticPr fontId="1" type="noConversion"/>
  </si>
  <si>
    <t>KODEX 2차전지산업</t>
    <phoneticPr fontId="1" type="noConversion"/>
  </si>
  <si>
    <t>[305720]</t>
    <phoneticPr fontId="1" type="noConversion"/>
  </si>
  <si>
    <t>솔루엠</t>
    <phoneticPr fontId="1" type="noConversion"/>
  </si>
  <si>
    <t>[248070]</t>
    <phoneticPr fontId="1" type="noConversion"/>
  </si>
  <si>
    <t>SNT모티브</t>
    <phoneticPr fontId="1" type="noConversion"/>
  </si>
  <si>
    <t>TIGER 200 IT</t>
    <phoneticPr fontId="1" type="noConversion"/>
  </si>
  <si>
    <t>[139260]</t>
    <phoneticPr fontId="1" type="noConversion"/>
  </si>
  <si>
    <t>TIGER KRX2차전지K-뉴딜</t>
    <phoneticPr fontId="1" type="noConversion"/>
  </si>
  <si>
    <t>[364980]</t>
    <phoneticPr fontId="1" type="noConversion"/>
  </si>
  <si>
    <t>락앤락</t>
    <phoneticPr fontId="1" type="noConversion"/>
  </si>
  <si>
    <t>[115390]</t>
    <phoneticPr fontId="1" type="noConversion"/>
  </si>
  <si>
    <t>TIGER 2차전지테마</t>
    <phoneticPr fontId="1" type="noConversion"/>
  </si>
  <si>
    <t>[305540]</t>
    <phoneticPr fontId="1" type="noConversion"/>
  </si>
  <si>
    <t>덴티움</t>
    <phoneticPr fontId="1" type="noConversion"/>
  </si>
  <si>
    <t>[145720]</t>
    <phoneticPr fontId="1" type="noConversion"/>
  </si>
  <si>
    <t>TIGER 차이나전기차SOLACTIVE</t>
    <phoneticPr fontId="1" type="noConversion"/>
  </si>
  <si>
    <t>[371460]</t>
    <phoneticPr fontId="1" type="noConversion"/>
  </si>
  <si>
    <t>한일현대시멘트</t>
    <phoneticPr fontId="1" type="noConversion"/>
  </si>
  <si>
    <t>[006390]</t>
    <phoneticPr fontId="1" type="noConversion"/>
  </si>
  <si>
    <t>유안타증권</t>
    <phoneticPr fontId="1" type="noConversion"/>
  </si>
  <si>
    <t>[003470]</t>
    <phoneticPr fontId="1" type="noConversion"/>
  </si>
  <si>
    <t>우리금융캐피탈</t>
    <phoneticPr fontId="1" type="noConversion"/>
  </si>
  <si>
    <t>잇츠한불</t>
    <phoneticPr fontId="1" type="noConversion"/>
  </si>
  <si>
    <t>[226320]</t>
    <phoneticPr fontId="1" type="noConversion"/>
  </si>
  <si>
    <t>BGF</t>
    <phoneticPr fontId="1" type="noConversion"/>
  </si>
  <si>
    <t>[027410]</t>
    <phoneticPr fontId="1" type="noConversion"/>
  </si>
  <si>
    <t>우리종금</t>
    <phoneticPr fontId="1" type="noConversion"/>
  </si>
  <si>
    <t>[010050]</t>
    <phoneticPr fontId="1" type="noConversion"/>
  </si>
  <si>
    <t>네오이뮨텍(Reg.S)</t>
    <phoneticPr fontId="1" type="noConversion"/>
  </si>
  <si>
    <t>[950220]</t>
    <phoneticPr fontId="1" type="noConversion"/>
  </si>
  <si>
    <t>데브시스터즈</t>
    <phoneticPr fontId="1" type="noConversion"/>
  </si>
  <si>
    <t>[194480]</t>
    <phoneticPr fontId="1" type="noConversion"/>
  </si>
  <si>
    <t>프레스티지바이오로직스</t>
    <phoneticPr fontId="1" type="noConversion"/>
  </si>
  <si>
    <t>[334970]</t>
    <phoneticPr fontId="1" type="noConversion"/>
  </si>
  <si>
    <t>세종텔레콤</t>
    <phoneticPr fontId="1" type="noConversion"/>
  </si>
  <si>
    <t>[036630]</t>
    <phoneticPr fontId="1" type="noConversion"/>
  </si>
  <si>
    <t>현대무벡스</t>
    <phoneticPr fontId="1" type="noConversion"/>
  </si>
  <si>
    <t>[319400]</t>
    <phoneticPr fontId="1" type="noConversion"/>
  </si>
  <si>
    <t>한국파마</t>
    <phoneticPr fontId="1" type="noConversion"/>
  </si>
  <si>
    <t>[032300]</t>
    <phoneticPr fontId="1" type="noConversion"/>
  </si>
  <si>
    <t>쎄트렉아이</t>
    <phoneticPr fontId="1" type="noConversion"/>
  </si>
  <si>
    <t>[099320]</t>
    <phoneticPr fontId="1" type="noConversion"/>
  </si>
  <si>
    <t>오로스테크놀로지</t>
    <phoneticPr fontId="1" type="noConversion"/>
  </si>
  <si>
    <t>[322310]</t>
    <phoneticPr fontId="1" type="noConversion"/>
  </si>
  <si>
    <t>오킨스전자</t>
    <phoneticPr fontId="1" type="noConversion"/>
  </si>
  <si>
    <t>[080580]</t>
    <phoneticPr fontId="1" type="noConversion"/>
  </si>
  <si>
    <t>더네이쳐홀딩스</t>
    <phoneticPr fontId="1" type="noConversion"/>
  </si>
  <si>
    <t>[298540]</t>
    <phoneticPr fontId="1" type="noConversion"/>
  </si>
  <si>
    <t>조이시티</t>
    <phoneticPr fontId="1" type="noConversion"/>
  </si>
  <si>
    <t>[067000]</t>
    <phoneticPr fontId="1" type="noConversion"/>
  </si>
  <si>
    <t>인터파크</t>
    <phoneticPr fontId="1" type="noConversion"/>
  </si>
  <si>
    <t>[035080]</t>
    <phoneticPr fontId="1" type="noConversion"/>
  </si>
  <si>
    <t>이트론</t>
    <phoneticPr fontId="1" type="noConversion"/>
  </si>
  <si>
    <t>[096040]</t>
    <phoneticPr fontId="1" type="noConversion"/>
  </si>
  <si>
    <t>레인보우로보틱스</t>
    <phoneticPr fontId="1" type="noConversion"/>
  </si>
  <si>
    <t>[277810]</t>
    <phoneticPr fontId="1" type="noConversion"/>
  </si>
  <si>
    <t>미래에셋벤처투자</t>
    <phoneticPr fontId="1" type="noConversion"/>
  </si>
  <si>
    <t>[100790]</t>
    <phoneticPr fontId="1" type="noConversion"/>
  </si>
  <si>
    <t>유니셈</t>
    <phoneticPr fontId="1" type="noConversion"/>
  </si>
  <si>
    <t>[036200]</t>
    <phoneticPr fontId="1" type="noConversion"/>
  </si>
  <si>
    <t>포스코엠텍</t>
    <phoneticPr fontId="1" type="noConversion"/>
  </si>
  <si>
    <t>[009520]</t>
    <phoneticPr fontId="1" type="noConversion"/>
  </si>
  <si>
    <t>한국비엔씨</t>
    <phoneticPr fontId="1" type="noConversion"/>
  </si>
  <si>
    <t>[256840]</t>
    <phoneticPr fontId="1" type="noConversion"/>
  </si>
  <si>
    <t>마크로젠</t>
    <phoneticPr fontId="1" type="noConversion"/>
  </si>
  <si>
    <t>[038290]</t>
    <phoneticPr fontId="1" type="noConversion"/>
  </si>
  <si>
    <t>월덱스</t>
    <phoneticPr fontId="1" type="noConversion"/>
  </si>
  <si>
    <t>[101160]</t>
    <phoneticPr fontId="1" type="noConversion"/>
  </si>
  <si>
    <t>네오위즈홀딩스</t>
    <phoneticPr fontId="1" type="noConversion"/>
  </si>
  <si>
    <t>[042420]</t>
    <phoneticPr fontId="1" type="noConversion"/>
  </si>
  <si>
    <t>노바텍</t>
    <phoneticPr fontId="1" type="noConversion"/>
  </si>
  <si>
    <t>[285490]</t>
    <phoneticPr fontId="1" type="noConversion"/>
  </si>
  <si>
    <t>NEW</t>
    <phoneticPr fontId="1" type="noConversion"/>
  </si>
  <si>
    <t>[160550]</t>
    <phoneticPr fontId="1" type="noConversion"/>
  </si>
  <si>
    <t>이수앱지스</t>
    <phoneticPr fontId="1" type="noConversion"/>
  </si>
  <si>
    <t>[086890]</t>
    <phoneticPr fontId="1" type="noConversion"/>
  </si>
  <si>
    <t>나스미디어</t>
    <phoneticPr fontId="1" type="noConversion"/>
  </si>
  <si>
    <t>[089600]</t>
    <phoneticPr fontId="1" type="noConversion"/>
  </si>
  <si>
    <t>코아시아</t>
    <phoneticPr fontId="1" type="noConversion"/>
  </si>
  <si>
    <t>[045970]</t>
    <phoneticPr fontId="1" type="noConversion"/>
  </si>
  <si>
    <t>지니뮤직</t>
    <phoneticPr fontId="1" type="noConversion"/>
  </si>
  <si>
    <t>[043610]</t>
    <phoneticPr fontId="1" type="noConversion"/>
  </si>
  <si>
    <t>펩트론</t>
    <phoneticPr fontId="1" type="noConversion"/>
  </si>
  <si>
    <t>[087010]</t>
    <phoneticPr fontId="1" type="noConversion"/>
  </si>
  <si>
    <t>파세코</t>
    <phoneticPr fontId="1" type="noConversion"/>
  </si>
  <si>
    <t>[037070]</t>
    <phoneticPr fontId="1" type="noConversion"/>
  </si>
  <si>
    <t>프로텍</t>
    <phoneticPr fontId="1" type="noConversion"/>
  </si>
  <si>
    <t>[053610]</t>
    <phoneticPr fontId="1" type="noConversion"/>
  </si>
  <si>
    <t>연우</t>
    <phoneticPr fontId="1" type="noConversion"/>
  </si>
  <si>
    <t>[115960]</t>
    <phoneticPr fontId="1" type="noConversion"/>
  </si>
  <si>
    <t>에스티큐브</t>
    <phoneticPr fontId="1" type="noConversion"/>
  </si>
  <si>
    <t>[052020]</t>
    <phoneticPr fontId="1" type="noConversion"/>
  </si>
  <si>
    <t>초록뱀</t>
    <phoneticPr fontId="1" type="noConversion"/>
  </si>
  <si>
    <t>[047820]</t>
    <phoneticPr fontId="1" type="noConversion"/>
  </si>
  <si>
    <t>위지윅스튜디오</t>
    <phoneticPr fontId="1" type="noConversion"/>
  </si>
  <si>
    <t>[299900]</t>
    <phoneticPr fontId="1" type="noConversion"/>
  </si>
  <si>
    <t>크리스에프앤씨</t>
    <phoneticPr fontId="1" type="noConversion"/>
  </si>
  <si>
    <t>[110790]</t>
    <phoneticPr fontId="1" type="noConversion"/>
  </si>
  <si>
    <t>이엠텍</t>
    <phoneticPr fontId="1" type="noConversion"/>
  </si>
  <si>
    <t>[091120]</t>
    <phoneticPr fontId="1" type="noConversion"/>
  </si>
  <si>
    <t>진성티이씨</t>
    <phoneticPr fontId="1" type="noConversion"/>
  </si>
  <si>
    <t>[036890]</t>
    <phoneticPr fontId="1" type="noConversion"/>
  </si>
  <si>
    <t>지어소프트</t>
    <phoneticPr fontId="1" type="noConversion"/>
  </si>
  <si>
    <t>[051160]</t>
    <phoneticPr fontId="1" type="noConversion"/>
  </si>
  <si>
    <t>인텍플러스</t>
    <phoneticPr fontId="1" type="noConversion"/>
  </si>
  <si>
    <t>[064290]</t>
    <phoneticPr fontId="1" type="noConversion"/>
  </si>
  <si>
    <t>30.72 +1.01%</t>
    <phoneticPr fontId="1" type="noConversion"/>
  </si>
  <si>
    <t>6.94 +0.74%</t>
    <phoneticPr fontId="1" type="noConversion"/>
  </si>
  <si>
    <t>대원화성</t>
    <phoneticPr fontId="1" type="noConversion"/>
  </si>
  <si>
    <t>[024890]</t>
    <phoneticPr fontId="1" type="noConversion"/>
  </si>
  <si>
    <t>신세계건설</t>
    <phoneticPr fontId="1" type="noConversion"/>
  </si>
  <si>
    <t>[034300]</t>
    <phoneticPr fontId="1" type="noConversion"/>
  </si>
  <si>
    <t>진양산업</t>
    <phoneticPr fontId="1" type="noConversion"/>
  </si>
  <si>
    <t>[003780]</t>
    <phoneticPr fontId="1" type="noConversion"/>
  </si>
  <si>
    <t>서연</t>
    <phoneticPr fontId="1" type="noConversion"/>
  </si>
  <si>
    <t>[007860]</t>
    <phoneticPr fontId="1" type="noConversion"/>
  </si>
  <si>
    <t>센트럴인사이트</t>
    <phoneticPr fontId="1" type="noConversion"/>
  </si>
  <si>
    <t>[012600]</t>
    <phoneticPr fontId="1" type="noConversion"/>
  </si>
  <si>
    <t>서울식품</t>
    <phoneticPr fontId="1" type="noConversion"/>
  </si>
  <si>
    <t>[004410]</t>
    <phoneticPr fontId="1" type="noConversion"/>
  </si>
  <si>
    <t>엠에프엠코리아</t>
    <phoneticPr fontId="1" type="noConversion"/>
  </si>
  <si>
    <t>[323230]</t>
    <phoneticPr fontId="1" type="noConversion"/>
  </si>
  <si>
    <t>아이원스</t>
    <phoneticPr fontId="1" type="noConversion"/>
  </si>
  <si>
    <t>[114810]</t>
    <phoneticPr fontId="1" type="noConversion"/>
  </si>
  <si>
    <t>화신정공</t>
    <phoneticPr fontId="1" type="noConversion"/>
  </si>
  <si>
    <t>[126640]</t>
    <phoneticPr fontId="1" type="noConversion"/>
  </si>
  <si>
    <t>제일바이오</t>
    <phoneticPr fontId="1" type="noConversion"/>
  </si>
  <si>
    <t>[052670]</t>
    <phoneticPr fontId="1" type="noConversion"/>
  </si>
  <si>
    <t>켐온</t>
    <phoneticPr fontId="1" type="noConversion"/>
  </si>
  <si>
    <t>[217600]</t>
    <phoneticPr fontId="1" type="noConversion"/>
  </si>
  <si>
    <t>주식 종목 코드 6자리 : 041190</t>
    <phoneticPr fontId="1" type="noConversion"/>
  </si>
  <si>
    <t xml:space="preserve">상승75 </t>
  </si>
  <si>
    <t xml:space="preserve">하락95 </t>
  </si>
  <si>
    <t xml:space="preserve">상승70 </t>
  </si>
  <si>
    <t xml:space="preserve">하락125 </t>
  </si>
  <si>
    <t xml:space="preserve">상승275 </t>
  </si>
  <si>
    <t xml:space="preserve">하락160 </t>
  </si>
  <si>
    <t xml:space="preserve">하락140 </t>
  </si>
  <si>
    <t xml:space="preserve">하락430 </t>
  </si>
  <si>
    <t xml:space="preserve">상승1,040 </t>
  </si>
  <si>
    <t xml:space="preserve">상승65 </t>
  </si>
  <si>
    <t xml:space="preserve">상승85 </t>
  </si>
  <si>
    <t xml:space="preserve">상승35 </t>
  </si>
  <si>
    <t xml:space="preserve">하락195 </t>
  </si>
  <si>
    <t xml:space="preserve">하락240 </t>
  </si>
  <si>
    <t xml:space="preserve">하락80 </t>
  </si>
  <si>
    <t xml:space="preserve">상승910 </t>
  </si>
  <si>
    <t xml:space="preserve">상승440 </t>
  </si>
  <si>
    <t xml:space="preserve">상승180 </t>
  </si>
  <si>
    <t xml:space="preserve">상승130 </t>
  </si>
  <si>
    <t xml:space="preserve">하락280 </t>
  </si>
  <si>
    <t xml:space="preserve">하락190 </t>
  </si>
  <si>
    <t xml:space="preserve">상승210 </t>
  </si>
  <si>
    <t xml:space="preserve">상승360 </t>
  </si>
  <si>
    <t xml:space="preserve">하락110 </t>
  </si>
  <si>
    <t xml:space="preserve">상승10 </t>
  </si>
  <si>
    <t xml:space="preserve">하락20 </t>
  </si>
  <si>
    <t xml:space="preserve">상승165 </t>
  </si>
  <si>
    <t xml:space="preserve">상승40 </t>
  </si>
  <si>
    <t xml:space="preserve">상승90 </t>
  </si>
  <si>
    <t xml:space="preserve">하락25 </t>
  </si>
  <si>
    <t xml:space="preserve">하락230 </t>
  </si>
  <si>
    <t xml:space="preserve">하락120 </t>
  </si>
  <si>
    <t xml:space="preserve">하락210 </t>
  </si>
  <si>
    <t xml:space="preserve">상승60 </t>
  </si>
  <si>
    <t xml:space="preserve">하락270 </t>
  </si>
  <si>
    <t>2021.01.04</t>
  </si>
  <si>
    <t xml:space="preserve">상승270 </t>
  </si>
  <si>
    <t xml:space="preserve">상승145 </t>
  </si>
  <si>
    <t xml:space="preserve">상승30 </t>
  </si>
  <si>
    <t xml:space="preserve">상승15 </t>
  </si>
  <si>
    <t xml:space="preserve">하락165 </t>
  </si>
  <si>
    <t xml:space="preserve">하락70 </t>
  </si>
  <si>
    <t xml:space="preserve">하락455 </t>
  </si>
  <si>
    <t xml:space="preserve">하락10 </t>
  </si>
  <si>
    <t xml:space="preserve">하락170 </t>
  </si>
  <si>
    <t xml:space="preserve">상승520 </t>
  </si>
  <si>
    <t>2021.01.18</t>
  </si>
  <si>
    <t xml:space="preserve">하락285 </t>
  </si>
  <si>
    <t>2021.01.15</t>
  </si>
  <si>
    <t xml:space="preserve">하락155 </t>
  </si>
  <si>
    <t>2021.01.14</t>
  </si>
  <si>
    <t xml:space="preserve">상승20 </t>
  </si>
  <si>
    <t>2021.01.13</t>
  </si>
  <si>
    <t xml:space="preserve">하락60 </t>
  </si>
  <si>
    <t>2021.01.12</t>
  </si>
  <si>
    <t xml:space="preserve">하락180 </t>
  </si>
  <si>
    <t>2021.01.11</t>
  </si>
  <si>
    <t>2021.01.08</t>
  </si>
  <si>
    <t xml:space="preserve">상승580 </t>
  </si>
  <si>
    <t>2021.01.07</t>
  </si>
  <si>
    <t xml:space="preserve">하락30 </t>
  </si>
  <si>
    <t>2021.01.06</t>
  </si>
  <si>
    <t>2021.01.05</t>
  </si>
  <si>
    <t>2021.02.01</t>
  </si>
  <si>
    <t xml:space="preserve">상승205 </t>
  </si>
  <si>
    <t>2021.01.29</t>
  </si>
  <si>
    <t>2021.01.28</t>
  </si>
  <si>
    <t xml:space="preserve">하락135 </t>
  </si>
  <si>
    <t>2021.01.27</t>
  </si>
  <si>
    <t>2021.01.26</t>
  </si>
  <si>
    <t>2021.01.25</t>
  </si>
  <si>
    <t>2021.01.22</t>
  </si>
  <si>
    <t xml:space="preserve">하락275 </t>
  </si>
  <si>
    <t>2021.01.21</t>
  </si>
  <si>
    <t xml:space="preserve">상승135 </t>
  </si>
  <si>
    <t>2021.01.20</t>
  </si>
  <si>
    <t>2021.01.19</t>
  </si>
  <si>
    <t>2021.02.17</t>
  </si>
  <si>
    <t>2021.02.16</t>
  </si>
  <si>
    <t xml:space="preserve">상승330 </t>
  </si>
  <si>
    <t>2021.02.15</t>
  </si>
  <si>
    <t xml:space="preserve">상승45 </t>
  </si>
  <si>
    <t>2021.02.10</t>
  </si>
  <si>
    <t xml:space="preserve">하락435 </t>
  </si>
  <si>
    <t>2021.02.09</t>
  </si>
  <si>
    <t xml:space="preserve">상승670 </t>
  </si>
  <si>
    <t>2021.02.08</t>
  </si>
  <si>
    <t xml:space="preserve">상승370 </t>
  </si>
  <si>
    <t>2021.02.05</t>
  </si>
  <si>
    <t>2021.02.04</t>
  </si>
  <si>
    <t xml:space="preserve">상승25 </t>
  </si>
  <si>
    <t>2021.02.03</t>
  </si>
  <si>
    <t>2021.02.02</t>
  </si>
  <si>
    <t>2021.03.04</t>
  </si>
  <si>
    <t>2021.03.03</t>
  </si>
  <si>
    <t>2021.03.02</t>
  </si>
  <si>
    <t>2021.02.26</t>
  </si>
  <si>
    <t xml:space="preserve">하락260 </t>
  </si>
  <si>
    <t>2021.02.25</t>
  </si>
  <si>
    <t xml:space="preserve">상승105 </t>
  </si>
  <si>
    <t>2021.02.24</t>
  </si>
  <si>
    <t>2021.02.23</t>
  </si>
  <si>
    <t xml:space="preserve">하락865 </t>
  </si>
  <si>
    <t>2021.02.22</t>
  </si>
  <si>
    <t xml:space="preserve">상승530 </t>
  </si>
  <si>
    <t>2021.02.19</t>
  </si>
  <si>
    <t xml:space="preserve">하락130 </t>
  </si>
  <si>
    <t>2021.02.18</t>
  </si>
  <si>
    <t xml:space="preserve">상승110 </t>
  </si>
  <si>
    <t>2021.03.18</t>
  </si>
  <si>
    <t xml:space="preserve">상승1,100 </t>
  </si>
  <si>
    <t>2021.03.17</t>
  </si>
  <si>
    <t xml:space="preserve">상승160 </t>
  </si>
  <si>
    <t>2021.03.16</t>
  </si>
  <si>
    <t>2021.03.15</t>
  </si>
  <si>
    <t>2021.03.12</t>
  </si>
  <si>
    <t xml:space="preserve">상승345 </t>
  </si>
  <si>
    <t>2021.03.11</t>
  </si>
  <si>
    <t>2021.03.10</t>
  </si>
  <si>
    <t xml:space="preserve">하락220 </t>
  </si>
  <si>
    <t>2021.03.09</t>
  </si>
  <si>
    <t>2021.03.08</t>
  </si>
  <si>
    <t>2021.03.05</t>
  </si>
  <si>
    <t>[주식 초고수는 지금]우리기술투자·비덴트 등 가상화폐株 매수 집중</t>
    <phoneticPr fontId="1" type="noConversion"/>
  </si>
  <si>
    <t>2021.03.17 11:13</t>
    <phoneticPr fontId="1" type="noConversion"/>
  </si>
  <si>
    <t>https://finance.naver.com/item/news_read.nhn?article_id=0003884331&amp;office_id=011&amp;code=041190&amp;page=1&amp;sm=title_entity_id.basic</t>
  </si>
  <si>
    <t>우리기술투자, 두나무 상장 기대감에 연일 급등</t>
    <phoneticPr fontId="1" type="noConversion"/>
  </si>
  <si>
    <t>2021.03.17 09:37</t>
    <phoneticPr fontId="1" type="noConversion"/>
  </si>
  <si>
    <t>https://finance.naver.com/item/news_read.nhn?article_id=0004764494&amp;office_id=009&amp;code=041190&amp;page=1&amp;sm=title_entity_id.basic</t>
  </si>
  <si>
    <t>[클릭 e종목]"우리기술투자, 두나무 美 증시 상장시 10조 가치"</t>
    <phoneticPr fontId="1" type="noConversion"/>
  </si>
  <si>
    <t>2021.03.16 09:24</t>
    <phoneticPr fontId="1" type="noConversion"/>
  </si>
  <si>
    <t>https://finance.naver.com/item/news_read.nhn?article_id=0004865891&amp;office_id=277&amp;code=041190&amp;page=1&amp;sm=title_entity_id.basic</t>
  </si>
  <si>
    <t>"두나무 지분 보유한 한화투자증권·우리기술투자 주목"-리서치알음</t>
    <phoneticPr fontId="1" type="noConversion"/>
  </si>
  <si>
    <t>2021.03.16 09:01</t>
    <phoneticPr fontId="1" type="noConversion"/>
  </si>
  <si>
    <t>https://finance.naver.com/item/news_read.nhn?article_id=0004876512&amp;office_id=018&amp;code=041190&amp;page=1&amp;sm=title_entity_id.basic</t>
  </si>
  <si>
    <t>위지트·티사이언티픽·우리기술투자 등 고공행진 비트코인…수혜주는 ‘1일 ...</t>
    <phoneticPr fontId="1" type="noConversion"/>
  </si>
  <si>
    <t>2021.02.10 11:24</t>
    <phoneticPr fontId="1" type="noConversion"/>
  </si>
  <si>
    <t>https://finance.naver.com/item/news_read.nhn?article_id=0001792628&amp;office_id=016&amp;code=041190&amp;page=1&amp;sm=title_entity_id.basic</t>
  </si>
  <si>
    <t>우리기술투자, 483억원 규모 美휴즈게임즈 주식 양도 결정</t>
    <phoneticPr fontId="1" type="noConversion"/>
  </si>
  <si>
    <t>2021.02.09 14:19</t>
    <phoneticPr fontId="1" type="noConversion"/>
  </si>
  <si>
    <t>https://finance.naver.com/item/news_read.nhn?article_id=0004849720&amp;office_id=018&amp;code=041190&amp;page=1&amp;sm=title_entity_id.basic</t>
  </si>
  <si>
    <t>[표]우리기술투자 등 코스닥 자사주 신청내역(7일)</t>
    <phoneticPr fontId="1" type="noConversion"/>
  </si>
  <si>
    <t>2020.12.07 07:48</t>
    <phoneticPr fontId="1" type="noConversion"/>
  </si>
  <si>
    <t>https://finance.naver.com/item/news_read.nhn?article_id=0004801698&amp;office_id=018&amp;code=041190&amp;page=1&amp;sm=title_entity_id.basic</t>
  </si>
  <si>
    <t>[표]우리기술투자 등 코스닥 자사주 신청내역(4일)</t>
    <phoneticPr fontId="1" type="noConversion"/>
  </si>
  <si>
    <t>2020.12.04 07:51</t>
    <phoneticPr fontId="1" type="noConversion"/>
  </si>
  <si>
    <t>https://finance.naver.com/item/news_read.nhn?article_id=0004800407&amp;office_id=018&amp;code=041190&amp;page=1&amp;sm=title_entity_id.basic</t>
  </si>
  <si>
    <t>[표]우리기술투자 등 코스닥 자사주 신청내역(3일)</t>
    <phoneticPr fontId="1" type="noConversion"/>
  </si>
  <si>
    <t>2020.12.03 07:48</t>
    <phoneticPr fontId="1" type="noConversion"/>
  </si>
  <si>
    <t>https://finance.naver.com/item/news_read.nhn?article_id=0004799457&amp;office_id=018&amp;code=041190&amp;page=1&amp;sm=title_entity_id.basic</t>
  </si>
  <si>
    <t>우리기술투자, 운영자금 마련 위해 95억원 규모 자사주 처분</t>
    <phoneticPr fontId="1" type="noConversion"/>
  </si>
  <si>
    <t>2020.12.02 18:51</t>
    <phoneticPr fontId="1" type="noConversion"/>
  </si>
  <si>
    <t>https://finance.naver.com/item/news_read.nhn?article_id=0004799307&amp;office_id=018&amp;code=041190&amp;page=1&amp;sm=title_entity_id.basic</t>
  </si>
  <si>
    <t>코스닥 133위</t>
    <phoneticPr fontId="1" type="noConversion"/>
  </si>
  <si>
    <t>N/A%</t>
  </si>
  <si>
    <t>상승1,070</t>
    <phoneticPr fontId="1" type="noConversion"/>
  </si>
  <si>
    <t>기업개요_x000D_
_x000D_
여신전문금융업법상 신기술사업금융업, 시설대여업 및 할부금융업을 주요사업으로 영위하고 있음._x000D_
_x000D_
설립후 국내 벤처산업 전반(정보통신, 반도체, 소프트웨어, 바이오, 환경등)에 걸친 꾸준한 투자활동으로 1998년 부터 2007년까지 평균 납입자본수익률이 25%를 상회하며 성장해왔음._x000D_
_x000D_
스톤브릿지디지털PEF의 인크로스(주) 일부 매각을 통한 이익 배분과 장기 부실채권의 회수를 진행하였음._x000D_
_x000D_
출처 : 에프앤가이드</t>
    <phoneticPr fontId="1" type="noConversion"/>
  </si>
  <si>
    <t xml:space="preserve">우리기술투자 무조건 11시까지 </t>
    <phoneticPr fontId="1" type="noConversion"/>
  </si>
  <si>
    <t xml:space="preserve">city**** </t>
    <phoneticPr fontId="1" type="noConversion"/>
  </si>
  <si>
    <t>https://finance.naver.com/item/board_read.nhn?code=041190&amp;nid=168127088&amp;st=&amp;sw=&amp;page=1</t>
  </si>
  <si>
    <t xml:space="preserve">날리지 말고 11시까지 [3] </t>
    <phoneticPr fontId="1" type="noConversion"/>
  </si>
  <si>
    <t xml:space="preserve">emfj**** </t>
    <phoneticPr fontId="1" type="noConversion"/>
  </si>
  <si>
    <t>https://finance.naver.com/item/board_read.nhn?code=041190&amp;nid=168127010&amp;st=&amp;sw=&amp;page=1</t>
  </si>
  <si>
    <t xml:space="preserve">6800에서 던지고 밑에서 다시 주워 </t>
    <phoneticPr fontId="1" type="noConversion"/>
  </si>
  <si>
    <t xml:space="preserve">ksp8**** </t>
    <phoneticPr fontId="1" type="noConversion"/>
  </si>
  <si>
    <t>https://finance.naver.com/item/board_read.nhn?code=041190&amp;nid=168126956&amp;st=&amp;sw=&amp;page=1</t>
  </si>
  <si>
    <t xml:space="preserve">!!우리기술투자!! 현시점에 정보가 곧 ... </t>
    <phoneticPr fontId="1" type="noConversion"/>
  </si>
  <si>
    <t xml:space="preserve">hanu**** </t>
    <phoneticPr fontId="1" type="noConversion"/>
  </si>
  <si>
    <t>https://finance.naver.com/item/board_read.nhn?code=041190&amp;nid=168126950&amp;st=&amp;sw=&amp;page=1</t>
  </si>
  <si>
    <t xml:space="preserve">단가가 좋으면 그냥 가져가는거다~ </t>
    <phoneticPr fontId="1" type="noConversion"/>
  </si>
  <si>
    <t xml:space="preserve">372t**** </t>
    <phoneticPr fontId="1" type="noConversion"/>
  </si>
  <si>
    <t>https://finance.naver.com/item/board_read.nhn?code=041190&amp;nid=168126941&amp;st=&amp;sw=&amp;page=1</t>
  </si>
  <si>
    <t xml:space="preserve">대폭락 </t>
    <phoneticPr fontId="1" type="noConversion"/>
  </si>
  <si>
    <t xml:space="preserve">gray**** </t>
    <phoneticPr fontId="1" type="noConversion"/>
  </si>
  <si>
    <t>https://finance.naver.com/item/board_read.nhn?code=041190&amp;nid=168126784&amp;st=&amp;sw=&amp;page=1</t>
  </si>
  <si>
    <t xml:space="preserve">개미 털고 가즈아 </t>
    <phoneticPr fontId="1" type="noConversion"/>
  </si>
  <si>
    <t xml:space="preserve">koan**** </t>
    <phoneticPr fontId="1" type="noConversion"/>
  </si>
  <si>
    <t>https://finance.naver.com/item/board_read.nhn?code=041190&amp;nid=168126771&amp;st=&amp;sw=&amp;page=1</t>
  </si>
  <si>
    <t xml:space="preserve">우리기술투자 보유자들 팩트체크 해보시는게 </t>
    <phoneticPr fontId="1" type="noConversion"/>
  </si>
  <si>
    <t xml:space="preserve">thin**** </t>
    <phoneticPr fontId="1" type="noConversion"/>
  </si>
  <si>
    <t>https://finance.naver.com/item/board_read.nhn?code=041190&amp;nid=168126729&amp;st=&amp;sw=&amp;page=1</t>
  </si>
  <si>
    <t xml:space="preserve">우리기술투자 오늘아침예상 [3] </t>
    <phoneticPr fontId="1" type="noConversion"/>
  </si>
  <si>
    <t xml:space="preserve">sktj**** </t>
    <phoneticPr fontId="1" type="noConversion"/>
  </si>
  <si>
    <t>https://finance.naver.com/item/board_read.nhn?code=041190&amp;nid=168126683&amp;st=&amp;sw=&amp;page=1</t>
  </si>
  <si>
    <t xml:space="preserve">리딩 톡방 사기주의~~ </t>
    <phoneticPr fontId="1" type="noConversion"/>
  </si>
  <si>
    <t xml:space="preserve">kore**** </t>
    <phoneticPr fontId="1" type="noConversion"/>
  </si>
  <si>
    <t>https://finance.naver.com/item/board_read.nhn?code=041190&amp;nid=168126649&amp;st=&amp;sw=&amp;page=1</t>
  </si>
  <si>
    <t xml:space="preserve">오늘은 긴위꼬리 아니고 어종상...풀매수... </t>
    <phoneticPr fontId="1" type="noConversion"/>
  </si>
  <si>
    <t xml:space="preserve">wndl**** </t>
    <phoneticPr fontId="1" type="noConversion"/>
  </si>
  <si>
    <t>https://finance.naver.com/item/board_read.nhn?code=041190&amp;nid=168126595&amp;st=&amp;sw=&amp;page=1</t>
  </si>
  <si>
    <t xml:space="preserve">그간 패턴 봐라 [1] </t>
    <phoneticPr fontId="1" type="noConversion"/>
  </si>
  <si>
    <t>https://finance.naver.com/item/board_read.nhn?code=041190&amp;nid=168126505&amp;st=&amp;sw=&amp;page=1</t>
  </si>
  <si>
    <t xml:space="preserve">&gt; 한국시간으로 11시 발표예정 [2] </t>
    <phoneticPr fontId="1" type="noConversion"/>
  </si>
  <si>
    <t xml:space="preserve">jisa**** </t>
    <phoneticPr fontId="1" type="noConversion"/>
  </si>
  <si>
    <t>https://finance.naver.com/item/board_read.nhn?code=041190&amp;nid=168126315&amp;st=&amp;sw=&amp;page=1</t>
  </si>
  <si>
    <t xml:space="preserve">고수님들 질문 ... </t>
    <phoneticPr fontId="1" type="noConversion"/>
  </si>
  <si>
    <t xml:space="preserve">bogu**** </t>
    <phoneticPr fontId="1" type="noConversion"/>
  </si>
  <si>
    <t>https://finance.naver.com/item/board_read.nhn?code=041190&amp;nid=168126287&amp;st=&amp;sw=&amp;page=1</t>
  </si>
  <si>
    <t xml:space="preserve">외인 현재 30만주정도 순매수중 [1] </t>
    <phoneticPr fontId="1" type="noConversion"/>
  </si>
  <si>
    <t xml:space="preserve">oksp**** </t>
    <phoneticPr fontId="1" type="noConversion"/>
  </si>
  <si>
    <t>https://finance.naver.com/item/board_read.nhn?code=041190&amp;nid=168126054&amp;st=&amp;sw=&amp;page=1</t>
  </si>
  <si>
    <t xml:space="preserve">월가보다 투기성 자산이 많은곳은 세상에 ... </t>
    <phoneticPr fontId="1" type="noConversion"/>
  </si>
  <si>
    <t>https://finance.naver.com/item/board_read.nhn?code=041190&amp;nid=168125992&amp;st=&amp;sw=&amp;page=1</t>
  </si>
  <si>
    <t xml:space="preserve">다날도가네 </t>
    <phoneticPr fontId="1" type="noConversion"/>
  </si>
  <si>
    <t xml:space="preserve">theb**** </t>
    <phoneticPr fontId="1" type="noConversion"/>
  </si>
  <si>
    <t>https://finance.naver.com/item/board_read.nhn?code=041190&amp;nid=168125749&amp;st=&amp;sw=&amp;page=1</t>
  </si>
  <si>
    <t xml:space="preserve">신용몰빵미수 우기투 가즈아~ </t>
    <phoneticPr fontId="1" type="noConversion"/>
  </si>
  <si>
    <t xml:space="preserve">roth**** </t>
    <phoneticPr fontId="1" type="noConversion"/>
  </si>
  <si>
    <t>https://finance.naver.com/item/board_read.nhn?code=041190&amp;nid=168125683&amp;st=&amp;sw=&amp;page=1</t>
  </si>
  <si>
    <t xml:space="preserve">저는 </t>
    <phoneticPr fontId="1" type="noConversion"/>
  </si>
  <si>
    <t xml:space="preserve">ckdg**** </t>
    <phoneticPr fontId="1" type="noConversion"/>
  </si>
  <si>
    <t>https://finance.naver.com/item/board_read.nhn?code=041190&amp;nid=168125666&amp;st=&amp;sw=&amp;page=1</t>
  </si>
  <si>
    <t xml:space="preserve">우기투 </t>
    <phoneticPr fontId="1" type="noConversion"/>
  </si>
  <si>
    <t xml:space="preserve">gx09**** </t>
    <phoneticPr fontId="1" type="noConversion"/>
  </si>
  <si>
    <t>https://finance.naver.com/item/board_read.nhn?code=041190&amp;nid=168125561&amp;st=&amp;sw=&amp;page=1</t>
  </si>
  <si>
    <t>https://finance.naver.com/item/board_read.nhn?code=041190&amp;nid=168125666&amp;st=&amp;sw=&amp;page=2</t>
  </si>
  <si>
    <t>https://finance.naver.com/item/board_read.nhn?code=041190&amp;nid=168125561&amp;st=&amp;sw=&amp;page=2</t>
  </si>
  <si>
    <t xml:space="preserve">아OOO ㅈ같노 </t>
    <phoneticPr fontId="1" type="noConversion"/>
  </si>
  <si>
    <t xml:space="preserve">tnfj**** </t>
    <phoneticPr fontId="1" type="noConversion"/>
  </si>
  <si>
    <t>https://finance.naver.com/item/board_read.nhn?code=041190&amp;nid=168125507&amp;st=&amp;sw=&amp;page=2</t>
  </si>
  <si>
    <t xml:space="preserve">세상에 멍청한 인간들이 많긴하구나 </t>
    <phoneticPr fontId="1" type="noConversion"/>
  </si>
  <si>
    <t xml:space="preserve">1556**** </t>
    <phoneticPr fontId="1" type="noConversion"/>
  </si>
  <si>
    <t>https://finance.naver.com/item/board_read.nhn?code=041190&amp;nid=168125482&amp;st=&amp;sw=&amp;page=2</t>
  </si>
  <si>
    <t xml:space="preserve">상한가 안간다.. 바보들아.. [3] </t>
    <phoneticPr fontId="1" type="noConversion"/>
  </si>
  <si>
    <t>https://finance.naver.com/item/board_read.nhn?code=041190&amp;nid=168125339&amp;st=&amp;sw=&amp;page=2</t>
  </si>
  <si>
    <t xml:space="preserve">6자 마무리 되어 간다 7자로 가자 오늘... </t>
    <phoneticPr fontId="1" type="noConversion"/>
  </si>
  <si>
    <t xml:space="preserve">unio**** </t>
    <phoneticPr fontId="1" type="noConversion"/>
  </si>
  <si>
    <t>https://finance.naver.com/item/board_read.nhn?code=041190&amp;nid=168125309&amp;st=&amp;sw=&amp;page=2</t>
  </si>
  <si>
    <t xml:space="preserve">간만에 본다 이런 매수세 [1] </t>
    <phoneticPr fontId="1" type="noConversion"/>
  </si>
  <si>
    <t>https://finance.naver.com/item/board_read.nhn?code=041190&amp;nid=168125302&amp;st=&amp;sw=&amp;page=2</t>
  </si>
  <si>
    <t xml:space="preserve">미국최대(세계최대)코인베이스-두나무(업비... [2] </t>
    <phoneticPr fontId="1" type="noConversion"/>
  </si>
  <si>
    <t xml:space="preserve">jes5**** </t>
    <phoneticPr fontId="1" type="noConversion"/>
  </si>
  <si>
    <t>https://finance.naver.com/item/board_read.nhn?code=041190&amp;nid=168125208&amp;st=&amp;sw=&amp;page=2</t>
  </si>
  <si>
    <t xml:space="preserve">이번에도 확실하네... 오늘 12시 직전... [3] </t>
    <phoneticPr fontId="1" type="noConversion"/>
  </si>
  <si>
    <t xml:space="preserve">jung**** </t>
    <phoneticPr fontId="1" type="noConversion"/>
  </si>
  <si>
    <t>https://finance.naver.com/item/board_read.nhn?code=041190&amp;nid=168125197&amp;st=&amp;sw=&amp;page=2</t>
  </si>
  <si>
    <t xml:space="preserve">신성이엔지 계열사 우기투는가는데 같이가 </t>
    <phoneticPr fontId="1" type="noConversion"/>
  </si>
  <si>
    <t xml:space="preserve">lsj6**** </t>
    <phoneticPr fontId="1" type="noConversion"/>
  </si>
  <si>
    <t>https://finance.naver.com/item/board_read.nhn?code=041190&amp;nid=168125178&amp;st=&amp;sw=&amp;page=2</t>
  </si>
  <si>
    <t xml:space="preserve">신용많은종목건들다 </t>
    <phoneticPr fontId="1" type="noConversion"/>
  </si>
  <si>
    <t xml:space="preserve">rlad**** </t>
    <phoneticPr fontId="1" type="noConversion"/>
  </si>
  <si>
    <t>https://finance.naver.com/item/board_read.nhn?code=041190&amp;nid=168125075&amp;st=&amp;sw=&amp;page=2</t>
  </si>
  <si>
    <t xml:space="preserve">우리기술투자 주목하시죠 보유중이실때 </t>
    <phoneticPr fontId="1" type="noConversion"/>
  </si>
  <si>
    <t xml:space="preserve">larg**** </t>
    <phoneticPr fontId="1" type="noConversion"/>
  </si>
  <si>
    <t>https://finance.naver.com/item/board_read.nhn?code=041190&amp;nid=168125066&amp;st=&amp;sw=&amp;page=2</t>
  </si>
  <si>
    <t xml:space="preserve">항상그렇듯오후에는폭락111 </t>
    <phoneticPr fontId="1" type="noConversion"/>
  </si>
  <si>
    <t xml:space="preserve">d321**** </t>
    <phoneticPr fontId="1" type="noConversion"/>
  </si>
  <si>
    <t>https://finance.naver.com/item/board_read.nhn?code=041190&amp;nid=168125009&amp;st=&amp;sw=&amp;page=2</t>
  </si>
  <si>
    <t xml:space="preserve">#비트코인6700만.빗썸지분`인바이오젠 </t>
    <phoneticPr fontId="1" type="noConversion"/>
  </si>
  <si>
    <t xml:space="preserve">boon**** </t>
    <phoneticPr fontId="1" type="noConversion"/>
  </si>
  <si>
    <t>https://finance.naver.com/item/board_read.nhn?code=041190&amp;nid=168124961&amp;st=&amp;sw=&amp;page=2</t>
  </si>
  <si>
    <t xml:space="preserve">쓸어담는중--3차 매수 [2] </t>
    <phoneticPr fontId="1" type="noConversion"/>
  </si>
  <si>
    <t>https://finance.naver.com/item/board_read.nhn?code=041190&amp;nid=168124931&amp;st=&amp;sw=&amp;page=2</t>
  </si>
  <si>
    <t xml:space="preserve">향후 미래를 보면 답이 나온다 </t>
    <phoneticPr fontId="1" type="noConversion"/>
  </si>
  <si>
    <t>https://finance.naver.com/item/board_read.nhn?code=041190&amp;nid=168124884&amp;st=&amp;sw=&amp;page=2</t>
  </si>
  <si>
    <t xml:space="preserve">내 재산이 일조다 ㆍ조은데 쓰고싶다 [3] </t>
    <phoneticPr fontId="1" type="noConversion"/>
  </si>
  <si>
    <t xml:space="preserve">jame**** </t>
    <phoneticPr fontId="1" type="noConversion"/>
  </si>
  <si>
    <t>https://finance.naver.com/item/board_read.nhn?code=041190&amp;nid=168124849&amp;st=&amp;sw=&amp;page=2</t>
  </si>
  <si>
    <t xml:space="preserve">힘내라 힘! </t>
    <phoneticPr fontId="1" type="noConversion"/>
  </si>
  <si>
    <t xml:space="preserve">jym5**** </t>
    <phoneticPr fontId="1" type="noConversion"/>
  </si>
  <si>
    <t>https://finance.naver.com/item/board_read.nhn?code=041190&amp;nid=168124839&amp;st=&amp;sw=&amp;page=2</t>
  </si>
  <si>
    <t xml:space="preserve">최소1만원 </t>
    <phoneticPr fontId="1" type="noConversion"/>
  </si>
  <si>
    <t xml:space="preserve">osld**** </t>
    <phoneticPr fontId="1" type="noConversion"/>
  </si>
  <si>
    <t>https://finance.naver.com/item/board_read.nhn?code=041190&amp;nid=168124826&amp;st=&amp;sw=&amp;page=2</t>
  </si>
  <si>
    <t xml:space="preserve">상으로 바로가자 </t>
    <phoneticPr fontId="1" type="noConversion"/>
  </si>
  <si>
    <t xml:space="preserve">dhlr**** </t>
    <phoneticPr fontId="1" type="noConversion"/>
  </si>
  <si>
    <t>https://finance.naver.com/item/board_read.nhn?code=041190&amp;nid=168124824&amp;st=&amp;sw=&amp;page=2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</si>
</sst>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000000"/>
    <numFmt numFmtId="177" formatCode="#,##0_ "/>
    <numFmt numFmtId="178" formatCode="#,##0_ &quot;억원&quot;"/>
    <numFmt numFmtId="179" formatCode="#,##0_);[Red]\(#,##0\)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sz val="11"/>
      <color indexed="81"/>
      <name val="Tahoma"/>
      <family val="2"/>
    </font>
    <font>
      <sz val="11"/>
      <color indexed="81"/>
      <name val="맑은 고딕"/>
      <family val="3"/>
      <charset val="129"/>
      <scheme val="major"/>
    </font>
    <font>
      <sz val="11"/>
      <color theme="1"/>
      <name val="Calibri"/>
      <family val="3"/>
      <charset val="161"/>
    </font>
    <font>
      <sz val="1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ECFF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/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130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0" xfId="0" applyNumberFormat="1" applyBorder="1">
      <alignment vertical="center"/>
    </xf>
    <xf numFmtId="0" fontId="0" fillId="2" borderId="1" xfId="0" applyFill="1" applyBorder="1">
      <alignment vertical="center"/>
    </xf>
    <xf numFmtId="10" fontId="0" fillId="0" borderId="1" xfId="0" applyNumberFormat="1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3" borderId="11" xfId="0" applyFill="1" applyBorder="1">
      <alignment vertical="center"/>
    </xf>
    <xf numFmtId="10" fontId="0" fillId="0" borderId="14" xfId="0" applyNumberFormat="1" applyBorder="1">
      <alignment vertical="center"/>
    </xf>
    <xf numFmtId="3" fontId="0" fillId="0" borderId="11" xfId="0" applyNumberFormat="1" applyBorder="1">
      <alignment vertical="center"/>
    </xf>
    <xf numFmtId="10" fontId="0" fillId="0" borderId="1" xfId="0" applyNumberFormat="1" applyBorder="1" applyAlignment="1">
      <alignment vertical="center" wrapText="1"/>
    </xf>
    <xf numFmtId="10" fontId="0" fillId="0" borderId="13" xfId="0" applyNumberFormat="1" applyBorder="1">
      <alignment vertical="center"/>
    </xf>
    <xf numFmtId="10" fontId="0" fillId="0" borderId="12" xfId="0" applyNumberFormat="1" applyBorder="1">
      <alignment vertical="center"/>
    </xf>
    <xf numFmtId="10" fontId="0" fillId="0" borderId="15" xfId="0" applyNumberFormat="1" applyBorder="1">
      <alignment vertical="center"/>
    </xf>
    <xf numFmtId="0" fontId="0" fillId="0" borderId="3" xfId="0" applyBorder="1">
      <alignment vertical="center"/>
    </xf>
    <xf numFmtId="0" fontId="0" fillId="0" borderId="17" xfId="0" applyBorder="1">
      <alignment vertical="center"/>
    </xf>
    <xf numFmtId="0" fontId="0" fillId="2" borderId="5" xfId="0" applyFill="1" applyBorder="1">
      <alignment vertical="center"/>
    </xf>
    <xf numFmtId="0" fontId="0" fillId="0" borderId="6" xfId="0" applyBorder="1">
      <alignment vertical="center"/>
    </xf>
    <xf numFmtId="0" fontId="0" fillId="4" borderId="11" xfId="0" applyFill="1" applyBorder="1">
      <alignment vertical="center"/>
    </xf>
    <xf numFmtId="0" fontId="0" fillId="0" borderId="11" xfId="0" applyFill="1" applyBorder="1">
      <alignment vertical="center"/>
    </xf>
    <xf numFmtId="0" fontId="0" fillId="0" borderId="0" xfId="0" applyFill="1" applyBorder="1">
      <alignment vertical="center"/>
    </xf>
    <xf numFmtId="0" fontId="0" fillId="3" borderId="20" xfId="0" applyFill="1" applyBorder="1">
      <alignment vertical="center"/>
    </xf>
    <xf numFmtId="10" fontId="0" fillId="0" borderId="0" xfId="0" applyNumberFormat="1" applyBorder="1">
      <alignment vertical="center"/>
    </xf>
    <xf numFmtId="10" fontId="0" fillId="0" borderId="22" xfId="0" applyNumberFormat="1" applyBorder="1">
      <alignment vertical="center"/>
    </xf>
    <xf numFmtId="4" fontId="0" fillId="2" borderId="11" xfId="0" applyNumberFormat="1" applyFill="1" applyBorder="1">
      <alignment vertical="center"/>
    </xf>
    <xf numFmtId="3" fontId="0" fillId="0" borderId="1" xfId="0" applyNumberFormat="1" applyBorder="1">
      <alignment vertical="center"/>
    </xf>
    <xf numFmtId="3" fontId="0" fillId="0" borderId="14" xfId="0" applyNumberFormat="1" applyBorder="1">
      <alignment vertical="center"/>
    </xf>
    <xf numFmtId="0" fontId="0" fillId="2" borderId="21" xfId="0" applyFill="1" applyBorder="1">
      <alignment vertical="center"/>
    </xf>
    <xf numFmtId="0" fontId="0" fillId="2" borderId="19" xfId="0" applyFill="1" applyBorder="1">
      <alignment vertical="center"/>
    </xf>
    <xf numFmtId="0" fontId="0" fillId="2" borderId="22" xfId="0" applyFill="1" applyBorder="1">
      <alignment vertical="center"/>
    </xf>
    <xf numFmtId="10" fontId="5" fillId="0" borderId="12" xfId="0" applyNumberFormat="1" applyFont="1" applyBorder="1">
      <alignment vertical="center"/>
    </xf>
    <xf numFmtId="10" fontId="5" fillId="0" borderId="15" xfId="0" applyNumberFormat="1" applyFont="1" applyBorder="1">
      <alignment vertical="center"/>
    </xf>
    <xf numFmtId="3" fontId="5" fillId="0" borderId="1" xfId="0" applyNumberFormat="1" applyFont="1" applyBorder="1">
      <alignment vertical="center"/>
    </xf>
    <xf numFmtId="3" fontId="5" fillId="0" borderId="14" xfId="0" applyNumberFormat="1" applyFont="1" applyBorder="1">
      <alignment vertical="center"/>
    </xf>
    <xf numFmtId="0" fontId="0" fillId="0" borderId="0" xfId="0" applyFill="1" applyBorder="1" applyAlignment="1">
      <alignment vertical="center"/>
    </xf>
    <xf numFmtId="0" fontId="0" fillId="2" borderId="3" xfId="0" applyFill="1" applyBorder="1">
      <alignment vertical="center"/>
    </xf>
    <xf numFmtId="0" fontId="0" fillId="2" borderId="25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5" xfId="0" applyFill="1" applyBorder="1">
      <alignment vertical="center"/>
    </xf>
    <xf numFmtId="177" fontId="0" fillId="0" borderId="1" xfId="0" applyNumberFormat="1" applyFill="1" applyBorder="1">
      <alignment vertical="center"/>
    </xf>
    <xf numFmtId="178" fontId="0" fillId="0" borderId="1" xfId="0" applyNumberFormat="1" applyFill="1" applyBorder="1">
      <alignment vertical="center"/>
    </xf>
    <xf numFmtId="0" fontId="0" fillId="0" borderId="18" xfId="0" applyBorder="1">
      <alignment vertical="center"/>
    </xf>
    <xf numFmtId="0" fontId="0" fillId="2" borderId="4" xfId="0" applyFill="1" applyBorder="1" applyAlignment="1">
      <alignment horizontal="center" vertical="center"/>
    </xf>
    <xf numFmtId="0" fontId="0" fillId="0" borderId="29" xfId="0" applyFill="1" applyBorder="1">
      <alignment vertical="center"/>
    </xf>
    <xf numFmtId="10" fontId="0" fillId="0" borderId="29" xfId="0" applyNumberFormat="1" applyFill="1" applyBorder="1">
      <alignment vertical="center"/>
    </xf>
    <xf numFmtId="3" fontId="5" fillId="0" borderId="29" xfId="0" applyNumberFormat="1" applyFont="1" applyFill="1" applyBorder="1">
      <alignment vertical="center"/>
    </xf>
    <xf numFmtId="3" fontId="6" fillId="0" borderId="30" xfId="0" applyNumberFormat="1" applyFont="1" applyFill="1" applyBorder="1">
      <alignment vertical="center"/>
    </xf>
    <xf numFmtId="0" fontId="0" fillId="2" borderId="24" xfId="0" applyFill="1" applyBorder="1">
      <alignment vertical="center"/>
    </xf>
    <xf numFmtId="9" fontId="0" fillId="0" borderId="24" xfId="0" applyNumberFormat="1" applyFill="1" applyBorder="1">
      <alignment vertical="center"/>
    </xf>
    <xf numFmtId="3" fontId="6" fillId="0" borderId="14" xfId="0" applyNumberFormat="1" applyFont="1" applyBorder="1">
      <alignment vertical="center"/>
    </xf>
    <xf numFmtId="177" fontId="10" fillId="0" borderId="1" xfId="0" applyNumberFormat="1" applyFont="1" applyFill="1" applyBorder="1">
      <alignment vertical="center"/>
    </xf>
    <xf numFmtId="177" fontId="10" fillId="0" borderId="14" xfId="0" applyNumberFormat="1" applyFont="1" applyFill="1" applyBorder="1">
      <alignment vertical="center"/>
    </xf>
    <xf numFmtId="0" fontId="0" fillId="0" borderId="14" xfId="0" applyFill="1" applyBorder="1">
      <alignment vertical="center"/>
    </xf>
    <xf numFmtId="179" fontId="0" fillId="0" borderId="12" xfId="0" applyNumberFormat="1" applyFill="1" applyBorder="1">
      <alignment vertical="center"/>
    </xf>
    <xf numFmtId="4" fontId="0" fillId="0" borderId="11" xfId="0" applyNumberFormat="1" applyBorder="1">
      <alignment vertical="center"/>
    </xf>
    <xf numFmtId="0" fontId="0" fillId="0" borderId="0" xfId="0">
      <alignment vertical="center"/>
    </xf>
    <xf numFmtId="3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2" xfId="0" applyBorder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0" borderId="15" xfId="0" applyBorder="1">
      <alignment vertical="center"/>
    </xf>
    <xf numFmtId="10" fontId="0" fillId="0" borderId="12" xfId="0" applyNumberFormat="1" applyBorder="1">
      <alignment vertical="center"/>
    </xf>
    <xf numFmtId="10" fontId="0" fillId="0" borderId="15" xfId="0" applyNumberFormat="1" applyBorder="1">
      <alignment vertical="center"/>
    </xf>
    <xf numFmtId="0" fontId="0" fillId="5" borderId="11" xfId="0" applyFill="1" applyBorder="1">
      <alignment vertical="center"/>
    </xf>
    <xf numFmtId="0" fontId="0" fillId="5" borderId="13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 applyNumberFormat="1" applyBorder="1">
      <alignment vertical="center"/>
    </xf>
    <xf numFmtId="0" fontId="0" fillId="2" borderId="10" xfId="0" applyFill="1" applyBorder="1">
      <alignment vertical="center"/>
    </xf>
    <xf numFmtId="10" fontId="0" fillId="2" borderId="21" xfId="0" applyNumberFormat="1" applyFill="1" applyBorder="1">
      <alignment vertical="center"/>
    </xf>
    <xf numFmtId="177" fontId="0" fillId="0" borderId="0" xfId="0" applyNumberFormat="1" applyBorder="1">
      <alignment vertical="center"/>
    </xf>
    <xf numFmtId="3" fontId="10" fillId="2" borderId="13" xfId="0" applyNumberFormat="1" applyFont="1" applyFill="1" applyBorder="1">
      <alignment vertical="center"/>
    </xf>
    <xf numFmtId="0" fontId="0" fillId="2" borderId="26" xfId="0" applyFill="1" applyBorder="1">
      <alignment vertical="center"/>
    </xf>
    <xf numFmtId="0" fontId="4" fillId="0" borderId="32" xfId="0" applyFont="1" applyFill="1" applyBorder="1">
      <alignment vertical="center"/>
    </xf>
    <xf numFmtId="0" fontId="0" fillId="2" borderId="32" xfId="0" applyFill="1" applyBorder="1">
      <alignment vertical="center"/>
    </xf>
    <xf numFmtId="3" fontId="0" fillId="0" borderId="32" xfId="0" applyNumberFormat="1" applyBorder="1">
      <alignment vertical="center"/>
    </xf>
    <xf numFmtId="0" fontId="0" fillId="0" borderId="32" xfId="0" applyBorder="1">
      <alignment vertical="center"/>
    </xf>
    <xf numFmtId="10" fontId="0" fillId="0" borderId="32" xfId="0" applyNumberFormat="1" applyBorder="1">
      <alignment vertical="center"/>
    </xf>
    <xf numFmtId="0" fontId="0" fillId="2" borderId="34" xfId="0" applyFill="1" applyBorder="1">
      <alignment vertical="center"/>
    </xf>
    <xf numFmtId="10" fontId="0" fillId="0" borderId="35" xfId="0" applyNumberFormat="1" applyBorder="1">
      <alignment vertical="center"/>
    </xf>
    <xf numFmtId="0" fontId="0" fillId="0" borderId="11" xfId="0" quotePrefix="1" applyBorder="1">
      <alignment vertical="center"/>
    </xf>
    <xf numFmtId="0" fontId="0" fillId="0" borderId="13" xfId="0" quotePrefix="1" applyBorder="1">
      <alignment vertical="center"/>
    </xf>
    <xf numFmtId="177" fontId="0" fillId="0" borderId="1" xfId="2" applyNumberFormat="1" applyFont="1" applyBorder="1">
      <alignment vertical="center"/>
    </xf>
    <xf numFmtId="177" fontId="0" fillId="0" borderId="14" xfId="2" applyNumberFormat="1" applyFont="1" applyBorder="1">
      <alignment vertical="center"/>
    </xf>
    <xf numFmtId="0" fontId="0" fillId="2" borderId="17" xfId="0" applyFill="1" applyBorder="1">
      <alignment vertical="center"/>
    </xf>
    <xf numFmtId="0" fontId="0" fillId="2" borderId="37" xfId="0" applyFill="1" applyBorder="1">
      <alignment vertical="center"/>
    </xf>
    <xf numFmtId="0" fontId="0" fillId="2" borderId="38" xfId="0" applyFill="1" applyBorder="1">
      <alignment vertical="center"/>
    </xf>
    <xf numFmtId="0" fontId="0" fillId="2" borderId="39" xfId="0" applyFill="1" applyBorder="1">
      <alignment vertical="center"/>
    </xf>
    <xf numFmtId="0" fontId="0" fillId="2" borderId="36" xfId="0" applyFill="1" applyBorder="1">
      <alignment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1" xfId="0" applyFill="1" applyBorder="1" applyAlignment="1">
      <alignment vertical="center"/>
    </xf>
    <xf numFmtId="0" fontId="0" fillId="2" borderId="12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2" borderId="32" xfId="0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3" fillId="0" borderId="1" xfId="1" applyBorder="1" applyAlignment="1">
      <alignment vertical="center"/>
    </xf>
    <xf numFmtId="0" fontId="3" fillId="0" borderId="12" xfId="1" applyBorder="1" applyAlignment="1">
      <alignment vertical="center"/>
    </xf>
    <xf numFmtId="0" fontId="3" fillId="0" borderId="14" xfId="1" applyBorder="1" applyAlignment="1">
      <alignment vertical="center"/>
    </xf>
    <xf numFmtId="0" fontId="3" fillId="0" borderId="15" xfId="1" applyBorder="1" applyAlignment="1">
      <alignment vertical="center"/>
    </xf>
    <xf numFmtId="0" fontId="3" fillId="0" borderId="2" xfId="1" applyBorder="1" applyAlignment="1">
      <alignment vertical="center"/>
    </xf>
    <xf numFmtId="0" fontId="3" fillId="0" borderId="23" xfId="1" applyBorder="1" applyAlignment="1">
      <alignment vertical="center"/>
    </xf>
    <xf numFmtId="0" fontId="0" fillId="2" borderId="28" xfId="0" applyFill="1" applyBorder="1" applyAlignment="1">
      <alignment horizontal="center" vertical="center"/>
    </xf>
    <xf numFmtId="0" fontId="0" fillId="0" borderId="5" xfId="0" applyBorder="1" applyAlignment="1">
      <alignment vertical="center" wrapText="1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10" fontId="0" fillId="2" borderId="10" xfId="0" applyNumberFormat="1" applyFill="1" applyBorder="1" applyAlignment="1">
      <alignment vertical="center" wrapText="1"/>
    </xf>
    <xf numFmtId="10" fontId="0" fillId="2" borderId="31" xfId="0" applyNumberFormat="1" applyFill="1" applyBorder="1" applyAlignment="1">
      <alignment vertical="center"/>
    </xf>
    <xf numFmtId="10" fontId="0" fillId="2" borderId="21" xfId="0" applyNumberFormat="1" applyFill="1" applyBorder="1" applyAlignment="1">
      <alignment vertical="center"/>
    </xf>
    <xf numFmtId="0" fontId="0" fillId="0" borderId="14" xfId="0" applyBorder="1" applyAlignment="1">
      <alignment vertical="center"/>
    </xf>
    <xf numFmtId="0" fontId="0" fillId="2" borderId="2" xfId="0" applyFill="1" applyBorder="1" applyAlignment="1">
      <alignment vertical="center"/>
    </xf>
    <xf numFmtId="0" fontId="0" fillId="2" borderId="3" xfId="0" applyFill="1" applyBorder="1" applyAlignment="1">
      <alignment vertical="center"/>
    </xf>
  </cellXfs>
  <cellStyles count="3">
    <cellStyle name="쉼표 [0]" xfId="2" builtinId="6"/>
    <cellStyle name="표준" xfId="0" builtinId="0"/>
    <cellStyle name="하이퍼링크" xfId="1" builtinId="8"/>
  </cellStyles>
  <dxfs count="49"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theme="1"/>
      </font>
    </dxf>
    <dxf>
      <font>
        <color rgb="FFFF0000"/>
      </font>
    </dxf>
    <dxf>
      <font>
        <color rgb="FF0070C0"/>
      </font>
    </dxf>
    <dxf>
      <font>
        <color theme="1"/>
      </font>
    </dxf>
    <dxf>
      <font>
        <color rgb="FFFF0000"/>
      </font>
    </dxf>
    <dxf>
      <font>
        <color rgb="FF0070C0"/>
      </font>
    </dxf>
    <dxf>
      <font>
        <color theme="1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  <fill>
        <patternFill patternType="none">
          <bgColor auto="1"/>
        </patternFill>
      </fill>
    </dxf>
    <dxf>
      <font>
        <color rgb="FF0070C0"/>
      </font>
    </dxf>
    <dxf>
      <font>
        <color rgb="FF002060"/>
      </font>
    </dxf>
    <dxf>
      <font>
        <color rgb="FFC0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ill>
        <patternFill>
          <bgColor rgb="FFFFCCCC"/>
        </patternFill>
      </fill>
    </dxf>
    <dxf>
      <fill>
        <patternFill>
          <bgColor rgb="FFCCECFF"/>
        </patternFill>
      </fill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</dxfs>
  <tableStyles count="0" defaultTableStyle="TableStyleMedium2" defaultPivotStyle="PivotStyleLight16"/>
  <colors>
    <mruColors>
      <color rgb="FFFFCCCC"/>
      <color rgb="FFCCECFF"/>
      <color rgb="FFFFC5C5"/>
      <color rgb="FFFFBDBD"/>
      <color rgb="FFBDDCFF"/>
      <color rgb="FFFFB3B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최근 </a:t>
            </a:r>
            <a:r>
              <a:rPr lang="en-US" altLang="ko-KR" sz="1400"/>
              <a:t>100</a:t>
            </a:r>
            <a:r>
              <a:rPr lang="ko-KR" altLang="en-US" sz="1400"/>
              <a:t>거래일 주가 양상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'100거래일 주가'!$A$2:$A$101</c:f>
              <c:strCache>
                <c:ptCount val="100"/>
                <c:pt idx="0">
                  <c:v>2021.03.18</c:v>
                </c:pt>
                <c:pt idx="1">
                  <c:v>2021.03.17</c:v>
                </c:pt>
                <c:pt idx="2">
                  <c:v>2021.03.16</c:v>
                </c:pt>
                <c:pt idx="3">
                  <c:v>2021.03.15</c:v>
                </c:pt>
                <c:pt idx="4">
                  <c:v>2021.03.12</c:v>
                </c:pt>
                <c:pt idx="5">
                  <c:v>2021.03.11</c:v>
                </c:pt>
                <c:pt idx="6">
                  <c:v>2021.03.10</c:v>
                </c:pt>
                <c:pt idx="7">
                  <c:v>2021.03.09</c:v>
                </c:pt>
                <c:pt idx="8">
                  <c:v>2021.03.08</c:v>
                </c:pt>
                <c:pt idx="9">
                  <c:v>2021.03.05</c:v>
                </c:pt>
                <c:pt idx="10">
                  <c:v>2021.03.04</c:v>
                </c:pt>
                <c:pt idx="11">
                  <c:v>2021.03.03</c:v>
                </c:pt>
                <c:pt idx="12">
                  <c:v>2021.03.02</c:v>
                </c:pt>
                <c:pt idx="13">
                  <c:v>2021.02.26</c:v>
                </c:pt>
                <c:pt idx="14">
                  <c:v>2021.02.25</c:v>
                </c:pt>
                <c:pt idx="15">
                  <c:v>2021.02.24</c:v>
                </c:pt>
                <c:pt idx="16">
                  <c:v>2021.02.23</c:v>
                </c:pt>
                <c:pt idx="17">
                  <c:v>2021.02.22</c:v>
                </c:pt>
                <c:pt idx="18">
                  <c:v>2021.02.19</c:v>
                </c:pt>
                <c:pt idx="19">
                  <c:v>2021.02.18</c:v>
                </c:pt>
                <c:pt idx="20">
                  <c:v>2021.02.17</c:v>
                </c:pt>
                <c:pt idx="21">
                  <c:v>2021.02.16</c:v>
                </c:pt>
                <c:pt idx="22">
                  <c:v>2021.02.15</c:v>
                </c:pt>
                <c:pt idx="23">
                  <c:v>2021.02.10</c:v>
                </c:pt>
                <c:pt idx="24">
                  <c:v>2021.02.09</c:v>
                </c:pt>
                <c:pt idx="25">
                  <c:v>2021.02.08</c:v>
                </c:pt>
                <c:pt idx="26">
                  <c:v>2021.02.05</c:v>
                </c:pt>
                <c:pt idx="27">
                  <c:v>2021.02.04</c:v>
                </c:pt>
                <c:pt idx="28">
                  <c:v>2021.02.03</c:v>
                </c:pt>
                <c:pt idx="29">
                  <c:v>2021.02.02</c:v>
                </c:pt>
                <c:pt idx="30">
                  <c:v>2021.02.01</c:v>
                </c:pt>
                <c:pt idx="31">
                  <c:v>2021.01.29</c:v>
                </c:pt>
                <c:pt idx="32">
                  <c:v>2021.01.28</c:v>
                </c:pt>
                <c:pt idx="33">
                  <c:v>2021.01.27</c:v>
                </c:pt>
                <c:pt idx="34">
                  <c:v>2021.01.26</c:v>
                </c:pt>
                <c:pt idx="35">
                  <c:v>2021.01.25</c:v>
                </c:pt>
                <c:pt idx="36">
                  <c:v>2021.01.22</c:v>
                </c:pt>
                <c:pt idx="37">
                  <c:v>2021.01.21</c:v>
                </c:pt>
                <c:pt idx="38">
                  <c:v>2021.01.20</c:v>
                </c:pt>
                <c:pt idx="39">
                  <c:v>2021.01.19</c:v>
                </c:pt>
                <c:pt idx="40">
                  <c:v>2021.01.18</c:v>
                </c:pt>
                <c:pt idx="41">
                  <c:v>2021.01.15</c:v>
                </c:pt>
                <c:pt idx="42">
                  <c:v>2021.01.14</c:v>
                </c:pt>
                <c:pt idx="43">
                  <c:v>2021.01.13</c:v>
                </c:pt>
                <c:pt idx="44">
                  <c:v>2021.01.12</c:v>
                </c:pt>
                <c:pt idx="45">
                  <c:v>2021.01.11</c:v>
                </c:pt>
                <c:pt idx="46">
                  <c:v>2021.01.08</c:v>
                </c:pt>
                <c:pt idx="47">
                  <c:v>2021.01.07</c:v>
                </c:pt>
                <c:pt idx="48">
                  <c:v>2021.01.06</c:v>
                </c:pt>
                <c:pt idx="49">
                  <c:v>2021.01.05</c:v>
                </c:pt>
                <c:pt idx="50">
                  <c:v>2021.01.04</c:v>
                </c:pt>
                <c:pt idx="51">
                  <c:v>2020.12.30</c:v>
                </c:pt>
                <c:pt idx="52">
                  <c:v>2020.12.29</c:v>
                </c:pt>
                <c:pt idx="53">
                  <c:v>2020.12.28</c:v>
                </c:pt>
                <c:pt idx="54">
                  <c:v>2020.12.24</c:v>
                </c:pt>
                <c:pt idx="55">
                  <c:v>2020.12.23</c:v>
                </c:pt>
                <c:pt idx="56">
                  <c:v>2020.12.22</c:v>
                </c:pt>
                <c:pt idx="57">
                  <c:v>2020.12.21</c:v>
                </c:pt>
                <c:pt idx="58">
                  <c:v>2020.12.18</c:v>
                </c:pt>
                <c:pt idx="59">
                  <c:v>2020.12.17</c:v>
                </c:pt>
                <c:pt idx="60">
                  <c:v>2020.12.16</c:v>
                </c:pt>
                <c:pt idx="61">
                  <c:v>2020.12.15</c:v>
                </c:pt>
                <c:pt idx="62">
                  <c:v>2020.12.14</c:v>
                </c:pt>
                <c:pt idx="63">
                  <c:v>2020.12.11</c:v>
                </c:pt>
                <c:pt idx="64">
                  <c:v>2020.12.10</c:v>
                </c:pt>
                <c:pt idx="65">
                  <c:v>2020.12.09</c:v>
                </c:pt>
                <c:pt idx="66">
                  <c:v>2020.12.08</c:v>
                </c:pt>
                <c:pt idx="67">
                  <c:v>2020.12.07</c:v>
                </c:pt>
                <c:pt idx="68">
                  <c:v>2020.12.04</c:v>
                </c:pt>
                <c:pt idx="69">
                  <c:v>2020.12.03</c:v>
                </c:pt>
                <c:pt idx="70">
                  <c:v>2020.12.02</c:v>
                </c:pt>
                <c:pt idx="71">
                  <c:v>2020.12.01</c:v>
                </c:pt>
                <c:pt idx="72">
                  <c:v>2020.11.30</c:v>
                </c:pt>
                <c:pt idx="73">
                  <c:v>2020.11.27</c:v>
                </c:pt>
                <c:pt idx="74">
                  <c:v>2020.11.26</c:v>
                </c:pt>
                <c:pt idx="75">
                  <c:v>2020.11.25</c:v>
                </c:pt>
                <c:pt idx="76">
                  <c:v>2020.11.24</c:v>
                </c:pt>
                <c:pt idx="77">
                  <c:v>2020.11.23</c:v>
                </c:pt>
                <c:pt idx="78">
                  <c:v>2020.11.20</c:v>
                </c:pt>
                <c:pt idx="79">
                  <c:v>2020.11.19</c:v>
                </c:pt>
                <c:pt idx="80">
                  <c:v>2020.11.18</c:v>
                </c:pt>
                <c:pt idx="81">
                  <c:v>2020.11.17</c:v>
                </c:pt>
                <c:pt idx="82">
                  <c:v>2020.11.16</c:v>
                </c:pt>
                <c:pt idx="83">
                  <c:v>2020.11.13</c:v>
                </c:pt>
                <c:pt idx="84">
                  <c:v>2020.11.12</c:v>
                </c:pt>
                <c:pt idx="85">
                  <c:v>2020.11.11</c:v>
                </c:pt>
                <c:pt idx="86">
                  <c:v>2020.11.10</c:v>
                </c:pt>
                <c:pt idx="87">
                  <c:v>2020.11.09</c:v>
                </c:pt>
                <c:pt idx="88">
                  <c:v>2020.11.06</c:v>
                </c:pt>
                <c:pt idx="89">
                  <c:v>2020.11.05</c:v>
                </c:pt>
                <c:pt idx="90">
                  <c:v>2020.11.04</c:v>
                </c:pt>
                <c:pt idx="91">
                  <c:v>2020.11.03</c:v>
                </c:pt>
                <c:pt idx="92">
                  <c:v>2020.11.02</c:v>
                </c:pt>
                <c:pt idx="93">
                  <c:v>2020.10.30</c:v>
                </c:pt>
                <c:pt idx="94">
                  <c:v>2020.10.29</c:v>
                </c:pt>
                <c:pt idx="95">
                  <c:v>2020.10.28</c:v>
                </c:pt>
                <c:pt idx="96">
                  <c:v>2020.10.27</c:v>
                </c:pt>
                <c:pt idx="97">
                  <c:v>2020.10.26</c:v>
                </c:pt>
                <c:pt idx="98">
                  <c:v>2020.10.23</c:v>
                </c:pt>
                <c:pt idx="99">
                  <c:v>2020.10.22</c:v>
                </c:pt>
              </c:strCache>
            </c:strRef>
          </c:cat>
          <c:val>
            <c:numRef>
              <c:f>'100거래일 주가'!$B$2:$B$101</c:f>
              <c:numCache>
                <c:formatCode>General</c:formatCode>
                <c:ptCount val="100"/>
                <c:pt idx="0">
                  <c:v>6800</c:v>
                </c:pt>
                <c:pt idx="1">
                  <c:v>5700</c:v>
                </c:pt>
                <c:pt idx="2">
                  <c:v>5540</c:v>
                </c:pt>
                <c:pt idx="3">
                  <c:v>5140</c:v>
                </c:pt>
                <c:pt idx="4">
                  <c:v>5120</c:v>
                </c:pt>
                <c:pt idx="5">
                  <c:v>4775</c:v>
                </c:pt>
                <c:pt idx="6">
                  <c:v>4775</c:v>
                </c:pt>
                <c:pt idx="7">
                  <c:v>4995</c:v>
                </c:pt>
                <c:pt idx="8">
                  <c:v>4725</c:v>
                </c:pt>
                <c:pt idx="9">
                  <c:v>4665</c:v>
                </c:pt>
                <c:pt idx="10">
                  <c:v>4800</c:v>
                </c:pt>
                <c:pt idx="11">
                  <c:v>4650</c:v>
                </c:pt>
                <c:pt idx="12">
                  <c:v>4550</c:v>
                </c:pt>
                <c:pt idx="13">
                  <c:v>4500</c:v>
                </c:pt>
                <c:pt idx="14">
                  <c:v>4760</c:v>
                </c:pt>
                <c:pt idx="15">
                  <c:v>4655</c:v>
                </c:pt>
                <c:pt idx="16">
                  <c:v>4815</c:v>
                </c:pt>
                <c:pt idx="17">
                  <c:v>5680</c:v>
                </c:pt>
                <c:pt idx="18">
                  <c:v>5150</c:v>
                </c:pt>
                <c:pt idx="19">
                  <c:v>5280</c:v>
                </c:pt>
                <c:pt idx="20">
                  <c:v>5170</c:v>
                </c:pt>
                <c:pt idx="21">
                  <c:v>5190</c:v>
                </c:pt>
                <c:pt idx="22">
                  <c:v>4860</c:v>
                </c:pt>
                <c:pt idx="23">
                  <c:v>4815</c:v>
                </c:pt>
                <c:pt idx="24">
                  <c:v>5250</c:v>
                </c:pt>
                <c:pt idx="25">
                  <c:v>4580</c:v>
                </c:pt>
                <c:pt idx="26">
                  <c:v>4210</c:v>
                </c:pt>
                <c:pt idx="27">
                  <c:v>4160</c:v>
                </c:pt>
                <c:pt idx="28">
                  <c:v>4135</c:v>
                </c:pt>
                <c:pt idx="29">
                  <c:v>4050</c:v>
                </c:pt>
                <c:pt idx="30">
                  <c:v>4025</c:v>
                </c:pt>
                <c:pt idx="31">
                  <c:v>3820</c:v>
                </c:pt>
                <c:pt idx="32">
                  <c:v>3970</c:v>
                </c:pt>
                <c:pt idx="33">
                  <c:v>4105</c:v>
                </c:pt>
                <c:pt idx="34">
                  <c:v>4240</c:v>
                </c:pt>
                <c:pt idx="35">
                  <c:v>4270</c:v>
                </c:pt>
                <c:pt idx="36">
                  <c:v>4295</c:v>
                </c:pt>
                <c:pt idx="37">
                  <c:v>4570</c:v>
                </c:pt>
                <c:pt idx="38">
                  <c:v>4435</c:v>
                </c:pt>
                <c:pt idx="39">
                  <c:v>4420</c:v>
                </c:pt>
                <c:pt idx="40">
                  <c:v>4430</c:v>
                </c:pt>
                <c:pt idx="41">
                  <c:v>4715</c:v>
                </c:pt>
                <c:pt idx="42">
                  <c:v>4870</c:v>
                </c:pt>
                <c:pt idx="43">
                  <c:v>4850</c:v>
                </c:pt>
                <c:pt idx="44">
                  <c:v>4910</c:v>
                </c:pt>
                <c:pt idx="45">
                  <c:v>5090</c:v>
                </c:pt>
                <c:pt idx="46">
                  <c:v>5790</c:v>
                </c:pt>
                <c:pt idx="47">
                  <c:v>5210</c:v>
                </c:pt>
                <c:pt idx="48">
                  <c:v>5240</c:v>
                </c:pt>
                <c:pt idx="49">
                  <c:v>4890</c:v>
                </c:pt>
                <c:pt idx="50">
                  <c:v>5140</c:v>
                </c:pt>
                <c:pt idx="51">
                  <c:v>4870</c:v>
                </c:pt>
                <c:pt idx="52">
                  <c:v>4725</c:v>
                </c:pt>
                <c:pt idx="53">
                  <c:v>4695</c:v>
                </c:pt>
                <c:pt idx="54">
                  <c:v>4680</c:v>
                </c:pt>
                <c:pt idx="55">
                  <c:v>4845</c:v>
                </c:pt>
                <c:pt idx="56">
                  <c:v>4915</c:v>
                </c:pt>
                <c:pt idx="57">
                  <c:v>5370</c:v>
                </c:pt>
                <c:pt idx="58">
                  <c:v>5380</c:v>
                </c:pt>
                <c:pt idx="59">
                  <c:v>5550</c:v>
                </c:pt>
                <c:pt idx="60">
                  <c:v>5030</c:v>
                </c:pt>
                <c:pt idx="61">
                  <c:v>5050</c:v>
                </c:pt>
                <c:pt idx="62">
                  <c:v>4885</c:v>
                </c:pt>
                <c:pt idx="63">
                  <c:v>4845</c:v>
                </c:pt>
                <c:pt idx="64">
                  <c:v>4755</c:v>
                </c:pt>
                <c:pt idx="65">
                  <c:v>4780</c:v>
                </c:pt>
                <c:pt idx="66">
                  <c:v>5010</c:v>
                </c:pt>
                <c:pt idx="67">
                  <c:v>5130</c:v>
                </c:pt>
                <c:pt idx="68">
                  <c:v>5340</c:v>
                </c:pt>
                <c:pt idx="69">
                  <c:v>5280</c:v>
                </c:pt>
                <c:pt idx="70">
                  <c:v>5550</c:v>
                </c:pt>
                <c:pt idx="71">
                  <c:v>5600</c:v>
                </c:pt>
                <c:pt idx="72">
                  <c:v>5420</c:v>
                </c:pt>
                <c:pt idx="73">
                  <c:v>5290</c:v>
                </c:pt>
                <c:pt idx="74">
                  <c:v>5570</c:v>
                </c:pt>
                <c:pt idx="75">
                  <c:v>5760</c:v>
                </c:pt>
                <c:pt idx="76">
                  <c:v>5550</c:v>
                </c:pt>
                <c:pt idx="77">
                  <c:v>5190</c:v>
                </c:pt>
                <c:pt idx="78">
                  <c:v>5190</c:v>
                </c:pt>
                <c:pt idx="79">
                  <c:v>5300</c:v>
                </c:pt>
                <c:pt idx="80">
                  <c:v>5290</c:v>
                </c:pt>
                <c:pt idx="81">
                  <c:v>4250</c:v>
                </c:pt>
                <c:pt idx="82">
                  <c:v>4185</c:v>
                </c:pt>
                <c:pt idx="83">
                  <c:v>4325</c:v>
                </c:pt>
                <c:pt idx="84">
                  <c:v>4240</c:v>
                </c:pt>
                <c:pt idx="85">
                  <c:v>4205</c:v>
                </c:pt>
                <c:pt idx="86">
                  <c:v>4400</c:v>
                </c:pt>
                <c:pt idx="87">
                  <c:v>4640</c:v>
                </c:pt>
                <c:pt idx="88">
                  <c:v>4720</c:v>
                </c:pt>
                <c:pt idx="89">
                  <c:v>3810</c:v>
                </c:pt>
                <c:pt idx="90">
                  <c:v>3370</c:v>
                </c:pt>
                <c:pt idx="91">
                  <c:v>3295</c:v>
                </c:pt>
                <c:pt idx="92">
                  <c:v>3390</c:v>
                </c:pt>
                <c:pt idx="93">
                  <c:v>3320</c:v>
                </c:pt>
                <c:pt idx="94">
                  <c:v>3270</c:v>
                </c:pt>
                <c:pt idx="95">
                  <c:v>3395</c:v>
                </c:pt>
                <c:pt idx="96">
                  <c:v>3120</c:v>
                </c:pt>
                <c:pt idx="97">
                  <c:v>3280</c:v>
                </c:pt>
                <c:pt idx="98">
                  <c:v>3420</c:v>
                </c:pt>
                <c:pt idx="99">
                  <c:v>3850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56-4DBE-B53B-0AA00EC8F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2511272"/>
        <c:axId val="422509304"/>
      </c:lineChart>
      <c:catAx>
        <c:axId val="422511272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crossAx val="422509304"/>
        <c:crosses val="autoZero"/>
        <c:auto val="1"/>
        <c:lblAlgn val="ctr"/>
        <c:lblOffset val="100"/>
        <c:noMultiLvlLbl val="0"/>
      </c:catAx>
      <c:valAx>
        <c:axId val="422509304"/>
        <c:scaling>
          <c:orientation val="minMax"/>
          <c:max val="6805"/>
          <c:min val="3120"/>
        </c:scaling>
        <c:delete val="0"/>
        <c:axPos val="r"/>
        <c:majorGridlines/>
        <c:numFmt formatCode="General" sourceLinked="1"/>
        <c:majorTickMark val="out"/>
        <c:minorTickMark val="none"/>
        <c:tickLblPos val="nextTo"/>
        <c:crossAx val="422511272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최근 </a:t>
            </a:r>
            <a:r>
              <a:rPr lang="en-US" altLang="ko-KR" sz="1400"/>
              <a:t>100</a:t>
            </a:r>
            <a:r>
              <a:rPr lang="ko-KR" altLang="en-US" sz="1400"/>
              <a:t>거래일 거래량 추세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'100거래일 주가'!$C$1</c:f>
              <c:strCache>
                <c:ptCount val="1"/>
                <c:pt idx="0">
                  <c:v>거래량</c:v>
                </c:pt>
              </c:strCache>
            </c:strRef>
          </c:tx>
          <c:invertIfNegative val="0"/>
          <c:cat>
            <c:strRef>
              <c:f>'100거래일 주가'!$A$2:$A$101</c:f>
              <c:strCache>
                <c:ptCount val="100"/>
                <c:pt idx="0">
                  <c:v>2021.03.18</c:v>
                </c:pt>
                <c:pt idx="1">
                  <c:v>2021.03.17</c:v>
                </c:pt>
                <c:pt idx="2">
                  <c:v>2021.03.16</c:v>
                </c:pt>
                <c:pt idx="3">
                  <c:v>2021.03.15</c:v>
                </c:pt>
                <c:pt idx="4">
                  <c:v>2021.03.12</c:v>
                </c:pt>
                <c:pt idx="5">
                  <c:v>2021.03.11</c:v>
                </c:pt>
                <c:pt idx="6">
                  <c:v>2021.03.10</c:v>
                </c:pt>
                <c:pt idx="7">
                  <c:v>2021.03.09</c:v>
                </c:pt>
                <c:pt idx="8">
                  <c:v>2021.03.08</c:v>
                </c:pt>
                <c:pt idx="9">
                  <c:v>2021.03.05</c:v>
                </c:pt>
                <c:pt idx="10">
                  <c:v>2021.03.04</c:v>
                </c:pt>
                <c:pt idx="11">
                  <c:v>2021.03.03</c:v>
                </c:pt>
                <c:pt idx="12">
                  <c:v>2021.03.02</c:v>
                </c:pt>
                <c:pt idx="13">
                  <c:v>2021.02.26</c:v>
                </c:pt>
                <c:pt idx="14">
                  <c:v>2021.02.25</c:v>
                </c:pt>
                <c:pt idx="15">
                  <c:v>2021.02.24</c:v>
                </c:pt>
                <c:pt idx="16">
                  <c:v>2021.02.23</c:v>
                </c:pt>
                <c:pt idx="17">
                  <c:v>2021.02.22</c:v>
                </c:pt>
                <c:pt idx="18">
                  <c:v>2021.02.19</c:v>
                </c:pt>
                <c:pt idx="19">
                  <c:v>2021.02.18</c:v>
                </c:pt>
                <c:pt idx="20">
                  <c:v>2021.02.17</c:v>
                </c:pt>
                <c:pt idx="21">
                  <c:v>2021.02.16</c:v>
                </c:pt>
                <c:pt idx="22">
                  <c:v>2021.02.15</c:v>
                </c:pt>
                <c:pt idx="23">
                  <c:v>2021.02.10</c:v>
                </c:pt>
                <c:pt idx="24">
                  <c:v>2021.02.09</c:v>
                </c:pt>
                <c:pt idx="25">
                  <c:v>2021.02.08</c:v>
                </c:pt>
                <c:pt idx="26">
                  <c:v>2021.02.05</c:v>
                </c:pt>
                <c:pt idx="27">
                  <c:v>2021.02.04</c:v>
                </c:pt>
                <c:pt idx="28">
                  <c:v>2021.02.03</c:v>
                </c:pt>
                <c:pt idx="29">
                  <c:v>2021.02.02</c:v>
                </c:pt>
                <c:pt idx="30">
                  <c:v>2021.02.01</c:v>
                </c:pt>
                <c:pt idx="31">
                  <c:v>2021.01.29</c:v>
                </c:pt>
                <c:pt idx="32">
                  <c:v>2021.01.28</c:v>
                </c:pt>
                <c:pt idx="33">
                  <c:v>2021.01.27</c:v>
                </c:pt>
                <c:pt idx="34">
                  <c:v>2021.01.26</c:v>
                </c:pt>
                <c:pt idx="35">
                  <c:v>2021.01.25</c:v>
                </c:pt>
                <c:pt idx="36">
                  <c:v>2021.01.22</c:v>
                </c:pt>
                <c:pt idx="37">
                  <c:v>2021.01.21</c:v>
                </c:pt>
                <c:pt idx="38">
                  <c:v>2021.01.20</c:v>
                </c:pt>
                <c:pt idx="39">
                  <c:v>2021.01.19</c:v>
                </c:pt>
                <c:pt idx="40">
                  <c:v>2021.01.18</c:v>
                </c:pt>
                <c:pt idx="41">
                  <c:v>2021.01.15</c:v>
                </c:pt>
                <c:pt idx="42">
                  <c:v>2021.01.14</c:v>
                </c:pt>
                <c:pt idx="43">
                  <c:v>2021.01.13</c:v>
                </c:pt>
                <c:pt idx="44">
                  <c:v>2021.01.12</c:v>
                </c:pt>
                <c:pt idx="45">
                  <c:v>2021.01.11</c:v>
                </c:pt>
                <c:pt idx="46">
                  <c:v>2021.01.08</c:v>
                </c:pt>
                <c:pt idx="47">
                  <c:v>2021.01.07</c:v>
                </c:pt>
                <c:pt idx="48">
                  <c:v>2021.01.06</c:v>
                </c:pt>
                <c:pt idx="49">
                  <c:v>2021.01.05</c:v>
                </c:pt>
                <c:pt idx="50">
                  <c:v>2021.01.04</c:v>
                </c:pt>
                <c:pt idx="51">
                  <c:v>2020.12.30</c:v>
                </c:pt>
                <c:pt idx="52">
                  <c:v>2020.12.29</c:v>
                </c:pt>
                <c:pt idx="53">
                  <c:v>2020.12.28</c:v>
                </c:pt>
                <c:pt idx="54">
                  <c:v>2020.12.24</c:v>
                </c:pt>
                <c:pt idx="55">
                  <c:v>2020.12.23</c:v>
                </c:pt>
                <c:pt idx="56">
                  <c:v>2020.12.22</c:v>
                </c:pt>
                <c:pt idx="57">
                  <c:v>2020.12.21</c:v>
                </c:pt>
                <c:pt idx="58">
                  <c:v>2020.12.18</c:v>
                </c:pt>
                <c:pt idx="59">
                  <c:v>2020.12.17</c:v>
                </c:pt>
                <c:pt idx="60">
                  <c:v>2020.12.16</c:v>
                </c:pt>
                <c:pt idx="61">
                  <c:v>2020.12.15</c:v>
                </c:pt>
                <c:pt idx="62">
                  <c:v>2020.12.14</c:v>
                </c:pt>
                <c:pt idx="63">
                  <c:v>2020.12.11</c:v>
                </c:pt>
                <c:pt idx="64">
                  <c:v>2020.12.10</c:v>
                </c:pt>
                <c:pt idx="65">
                  <c:v>2020.12.09</c:v>
                </c:pt>
                <c:pt idx="66">
                  <c:v>2020.12.08</c:v>
                </c:pt>
                <c:pt idx="67">
                  <c:v>2020.12.07</c:v>
                </c:pt>
                <c:pt idx="68">
                  <c:v>2020.12.04</c:v>
                </c:pt>
                <c:pt idx="69">
                  <c:v>2020.12.03</c:v>
                </c:pt>
                <c:pt idx="70">
                  <c:v>2020.12.02</c:v>
                </c:pt>
                <c:pt idx="71">
                  <c:v>2020.12.01</c:v>
                </c:pt>
                <c:pt idx="72">
                  <c:v>2020.11.30</c:v>
                </c:pt>
                <c:pt idx="73">
                  <c:v>2020.11.27</c:v>
                </c:pt>
                <c:pt idx="74">
                  <c:v>2020.11.26</c:v>
                </c:pt>
                <c:pt idx="75">
                  <c:v>2020.11.25</c:v>
                </c:pt>
                <c:pt idx="76">
                  <c:v>2020.11.24</c:v>
                </c:pt>
                <c:pt idx="77">
                  <c:v>2020.11.23</c:v>
                </c:pt>
                <c:pt idx="78">
                  <c:v>2020.11.20</c:v>
                </c:pt>
                <c:pt idx="79">
                  <c:v>2020.11.19</c:v>
                </c:pt>
                <c:pt idx="80">
                  <c:v>2020.11.18</c:v>
                </c:pt>
                <c:pt idx="81">
                  <c:v>2020.11.17</c:v>
                </c:pt>
                <c:pt idx="82">
                  <c:v>2020.11.16</c:v>
                </c:pt>
                <c:pt idx="83">
                  <c:v>2020.11.13</c:v>
                </c:pt>
                <c:pt idx="84">
                  <c:v>2020.11.12</c:v>
                </c:pt>
                <c:pt idx="85">
                  <c:v>2020.11.11</c:v>
                </c:pt>
                <c:pt idx="86">
                  <c:v>2020.11.10</c:v>
                </c:pt>
                <c:pt idx="87">
                  <c:v>2020.11.09</c:v>
                </c:pt>
                <c:pt idx="88">
                  <c:v>2020.11.06</c:v>
                </c:pt>
                <c:pt idx="89">
                  <c:v>2020.11.05</c:v>
                </c:pt>
                <c:pt idx="90">
                  <c:v>2020.11.04</c:v>
                </c:pt>
                <c:pt idx="91">
                  <c:v>2020.11.03</c:v>
                </c:pt>
                <c:pt idx="92">
                  <c:v>2020.11.02</c:v>
                </c:pt>
                <c:pt idx="93">
                  <c:v>2020.10.30</c:v>
                </c:pt>
                <c:pt idx="94">
                  <c:v>2020.10.29</c:v>
                </c:pt>
                <c:pt idx="95">
                  <c:v>2020.10.28</c:v>
                </c:pt>
                <c:pt idx="96">
                  <c:v>2020.10.27</c:v>
                </c:pt>
                <c:pt idx="97">
                  <c:v>2020.10.26</c:v>
                </c:pt>
                <c:pt idx="98">
                  <c:v>2020.10.23</c:v>
                </c:pt>
                <c:pt idx="99">
                  <c:v>2020.10.22</c:v>
                </c:pt>
              </c:strCache>
            </c:strRef>
          </c:cat>
          <c:val>
            <c:numRef>
              <c:f>'100거래일 주가'!$C$2:$C$101</c:f>
              <c:numCache>
                <c:formatCode>General</c:formatCode>
                <c:ptCount val="100"/>
                <c:pt idx="0">
                  <c:v>58204027</c:v>
                </c:pt>
                <c:pt idx="1">
                  <c:v>30810473</c:v>
                </c:pt>
                <c:pt idx="2">
                  <c:v>79340193</c:v>
                </c:pt>
                <c:pt idx="3">
                  <c:v>14541417</c:v>
                </c:pt>
                <c:pt idx="4">
                  <c:v>11319009</c:v>
                </c:pt>
                <c:pt idx="5">
                  <c:v>6154340</c:v>
                </c:pt>
                <c:pt idx="6">
                  <c:v>9640388</c:v>
                </c:pt>
                <c:pt idx="7">
                  <c:v>32132219</c:v>
                </c:pt>
                <c:pt idx="8">
                  <c:v>2992187</c:v>
                </c:pt>
                <c:pt idx="9">
                  <c:v>1603962</c:v>
                </c:pt>
                <c:pt idx="10">
                  <c:v>5823645</c:v>
                </c:pt>
                <c:pt idx="11">
                  <c:v>3243471</c:v>
                </c:pt>
                <c:pt idx="12">
                  <c:v>3165736</c:v>
                </c:pt>
                <c:pt idx="13">
                  <c:v>3697113</c:v>
                </c:pt>
                <c:pt idx="14">
                  <c:v>4447122</c:v>
                </c:pt>
                <c:pt idx="15">
                  <c:v>10267676</c:v>
                </c:pt>
                <c:pt idx="16">
                  <c:v>14633585</c:v>
                </c:pt>
                <c:pt idx="17">
                  <c:v>68260768</c:v>
                </c:pt>
                <c:pt idx="18">
                  <c:v>9607690</c:v>
                </c:pt>
                <c:pt idx="19">
                  <c:v>45477769</c:v>
                </c:pt>
                <c:pt idx="20">
                  <c:v>19595429</c:v>
                </c:pt>
                <c:pt idx="21">
                  <c:v>43822618</c:v>
                </c:pt>
                <c:pt idx="22">
                  <c:v>9129843</c:v>
                </c:pt>
                <c:pt idx="23">
                  <c:v>12594219</c:v>
                </c:pt>
                <c:pt idx="24">
                  <c:v>53787359</c:v>
                </c:pt>
                <c:pt idx="25">
                  <c:v>8411036</c:v>
                </c:pt>
                <c:pt idx="26">
                  <c:v>1793833</c:v>
                </c:pt>
                <c:pt idx="27">
                  <c:v>2838270</c:v>
                </c:pt>
                <c:pt idx="28">
                  <c:v>1829722</c:v>
                </c:pt>
                <c:pt idx="29">
                  <c:v>1528822</c:v>
                </c:pt>
                <c:pt idx="30">
                  <c:v>2023570</c:v>
                </c:pt>
                <c:pt idx="31">
                  <c:v>2268693</c:v>
                </c:pt>
                <c:pt idx="32">
                  <c:v>2018251</c:v>
                </c:pt>
                <c:pt idx="33">
                  <c:v>1705172</c:v>
                </c:pt>
                <c:pt idx="34">
                  <c:v>2688047</c:v>
                </c:pt>
                <c:pt idx="35">
                  <c:v>1967641</c:v>
                </c:pt>
                <c:pt idx="36">
                  <c:v>4717275</c:v>
                </c:pt>
                <c:pt idx="37">
                  <c:v>6006249</c:v>
                </c:pt>
                <c:pt idx="38">
                  <c:v>2600638</c:v>
                </c:pt>
                <c:pt idx="39">
                  <c:v>3245432</c:v>
                </c:pt>
                <c:pt idx="40">
                  <c:v>3955794</c:v>
                </c:pt>
                <c:pt idx="41">
                  <c:v>3524907</c:v>
                </c:pt>
                <c:pt idx="42">
                  <c:v>5590992</c:v>
                </c:pt>
                <c:pt idx="43">
                  <c:v>5230589</c:v>
                </c:pt>
                <c:pt idx="44">
                  <c:v>9729660</c:v>
                </c:pt>
                <c:pt idx="45">
                  <c:v>26176454</c:v>
                </c:pt>
                <c:pt idx="46">
                  <c:v>129199637</c:v>
                </c:pt>
                <c:pt idx="47">
                  <c:v>20754467</c:v>
                </c:pt>
                <c:pt idx="48">
                  <c:v>34410439</c:v>
                </c:pt>
                <c:pt idx="49">
                  <c:v>5861613</c:v>
                </c:pt>
                <c:pt idx="50">
                  <c:v>15704465</c:v>
                </c:pt>
                <c:pt idx="51">
                  <c:v>15478822</c:v>
                </c:pt>
                <c:pt idx="52">
                  <c:v>5104964</c:v>
                </c:pt>
                <c:pt idx="53">
                  <c:v>16136782</c:v>
                </c:pt>
                <c:pt idx="54">
                  <c:v>5692933</c:v>
                </c:pt>
                <c:pt idx="55">
                  <c:v>16888511</c:v>
                </c:pt>
                <c:pt idx="56">
                  <c:v>8015345</c:v>
                </c:pt>
                <c:pt idx="57">
                  <c:v>10105464</c:v>
                </c:pt>
                <c:pt idx="58">
                  <c:v>23480146</c:v>
                </c:pt>
                <c:pt idx="59">
                  <c:v>68618541</c:v>
                </c:pt>
                <c:pt idx="60">
                  <c:v>4360714</c:v>
                </c:pt>
                <c:pt idx="61">
                  <c:v>23456635</c:v>
                </c:pt>
                <c:pt idx="62">
                  <c:v>4691785</c:v>
                </c:pt>
                <c:pt idx="63">
                  <c:v>6642166</c:v>
                </c:pt>
                <c:pt idx="64">
                  <c:v>10882441</c:v>
                </c:pt>
                <c:pt idx="65">
                  <c:v>8336569</c:v>
                </c:pt>
                <c:pt idx="66">
                  <c:v>6142927</c:v>
                </c:pt>
                <c:pt idx="67">
                  <c:v>5940156</c:v>
                </c:pt>
                <c:pt idx="68">
                  <c:v>5494170</c:v>
                </c:pt>
                <c:pt idx="69">
                  <c:v>6654793</c:v>
                </c:pt>
                <c:pt idx="70">
                  <c:v>7472404</c:v>
                </c:pt>
                <c:pt idx="71">
                  <c:v>29278721</c:v>
                </c:pt>
                <c:pt idx="72">
                  <c:v>9605588</c:v>
                </c:pt>
                <c:pt idx="73">
                  <c:v>11565614</c:v>
                </c:pt>
                <c:pt idx="74">
                  <c:v>15788427</c:v>
                </c:pt>
                <c:pt idx="75">
                  <c:v>48380030</c:v>
                </c:pt>
                <c:pt idx="76">
                  <c:v>150637941</c:v>
                </c:pt>
                <c:pt idx="77">
                  <c:v>12011560</c:v>
                </c:pt>
                <c:pt idx="78">
                  <c:v>17894755</c:v>
                </c:pt>
                <c:pt idx="79">
                  <c:v>89383226</c:v>
                </c:pt>
                <c:pt idx="80">
                  <c:v>140513641</c:v>
                </c:pt>
                <c:pt idx="81">
                  <c:v>36889473</c:v>
                </c:pt>
                <c:pt idx="82">
                  <c:v>12577370</c:v>
                </c:pt>
                <c:pt idx="83">
                  <c:v>88471972</c:v>
                </c:pt>
                <c:pt idx="84">
                  <c:v>24503184</c:v>
                </c:pt>
                <c:pt idx="85">
                  <c:v>15491963</c:v>
                </c:pt>
                <c:pt idx="86">
                  <c:v>14467968</c:v>
                </c:pt>
                <c:pt idx="87">
                  <c:v>40776553</c:v>
                </c:pt>
                <c:pt idx="88">
                  <c:v>122952718</c:v>
                </c:pt>
                <c:pt idx="89">
                  <c:v>53729701</c:v>
                </c:pt>
                <c:pt idx="90">
                  <c:v>34591136</c:v>
                </c:pt>
                <c:pt idx="91">
                  <c:v>14485366</c:v>
                </c:pt>
                <c:pt idx="92">
                  <c:v>19502259</c:v>
                </c:pt>
                <c:pt idx="93">
                  <c:v>50161425</c:v>
                </c:pt>
                <c:pt idx="94">
                  <c:v>11513238</c:v>
                </c:pt>
                <c:pt idx="95">
                  <c:v>53754157</c:v>
                </c:pt>
                <c:pt idx="96">
                  <c:v>56971577</c:v>
                </c:pt>
                <c:pt idx="97">
                  <c:v>68691266</c:v>
                </c:pt>
                <c:pt idx="98">
                  <c:v>81223291</c:v>
                </c:pt>
                <c:pt idx="99">
                  <c:v>74934158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68-4289-AF7B-CDA03E9BB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20642160"/>
        <c:axId val="420640520"/>
      </c:barChart>
      <c:catAx>
        <c:axId val="420642160"/>
        <c:scaling>
          <c:orientation val="maxMin"/>
        </c:scaling>
        <c:delete val="0"/>
        <c:axPos val="b"/>
        <c:numFmt formatCode="General" sourceLinked="1"/>
        <c:majorTickMark val="out"/>
        <c:minorTickMark val="none"/>
        <c:tickLblPos val="nextTo"/>
        <c:crossAx val="420640520"/>
        <c:crosses val="autoZero"/>
        <c:auto val="1"/>
        <c:lblAlgn val="ctr"/>
        <c:lblOffset val="100"/>
        <c:noMultiLvlLbl val="0"/>
      </c:catAx>
      <c:valAx>
        <c:axId val="420640520"/>
        <c:scaling>
          <c:orientation val="minMax"/>
        </c:scaling>
        <c:delete val="0"/>
        <c:axPos val="r"/>
        <c:majorGridlines/>
        <c:numFmt formatCode="General" sourceLinked="1"/>
        <c:majorTickMark val="out"/>
        <c:minorTickMark val="none"/>
        <c:tickLblPos val="nextTo"/>
        <c:crossAx val="42064216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ko-KR" altLang="en-US" sz="1400"/>
              <a:t>향후 </a:t>
            </a:r>
            <a:r>
              <a:rPr lang="en-US" altLang="ko-KR" sz="1400"/>
              <a:t>1</a:t>
            </a:r>
            <a:r>
              <a:rPr lang="ko-KR" altLang="en-US" sz="1400"/>
              <a:t>년 주가 예측 시뮬레이션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'주가 예측'!$B$4</c:f>
              <c:strCache>
                <c:ptCount val="1"/>
                <c:pt idx="0">
                  <c:v>예상종가</c:v>
                </c:pt>
              </c:strCache>
            </c:strRef>
          </c:tx>
          <c:marker>
            <c:symbol val="none"/>
          </c:marker>
          <c:cat>
            <c:strRef>
              <c:f>'주가 예측'!$A$5:$A$304</c:f>
              <c:strCache>
                <c:ptCount val="300"/>
                <c:pt idx="0">
                  <c:v>1일 후</c:v>
                </c:pt>
                <c:pt idx="1">
                  <c:v>2일 후</c:v>
                </c:pt>
                <c:pt idx="2">
                  <c:v>3일 후</c:v>
                </c:pt>
                <c:pt idx="3">
                  <c:v>4일 후</c:v>
                </c:pt>
                <c:pt idx="4">
                  <c:v>5일 후</c:v>
                </c:pt>
                <c:pt idx="5">
                  <c:v>6일 후</c:v>
                </c:pt>
                <c:pt idx="6">
                  <c:v>7일 후</c:v>
                </c:pt>
                <c:pt idx="7">
                  <c:v>8일 후</c:v>
                </c:pt>
                <c:pt idx="8">
                  <c:v>9일 후</c:v>
                </c:pt>
                <c:pt idx="9">
                  <c:v>10일 후</c:v>
                </c:pt>
                <c:pt idx="10">
                  <c:v>11일 후</c:v>
                </c:pt>
                <c:pt idx="11">
                  <c:v>12일 후</c:v>
                </c:pt>
                <c:pt idx="12">
                  <c:v>13일 후</c:v>
                </c:pt>
                <c:pt idx="13">
                  <c:v>14일 후</c:v>
                </c:pt>
                <c:pt idx="14">
                  <c:v>15일 후</c:v>
                </c:pt>
                <c:pt idx="15">
                  <c:v>16일 후</c:v>
                </c:pt>
                <c:pt idx="16">
                  <c:v>17일 후</c:v>
                </c:pt>
                <c:pt idx="17">
                  <c:v>18일 후</c:v>
                </c:pt>
                <c:pt idx="18">
                  <c:v>19일 후</c:v>
                </c:pt>
                <c:pt idx="19">
                  <c:v>20일 후</c:v>
                </c:pt>
                <c:pt idx="20">
                  <c:v>21일 후</c:v>
                </c:pt>
                <c:pt idx="21">
                  <c:v>22일 후</c:v>
                </c:pt>
                <c:pt idx="22">
                  <c:v>23일 후</c:v>
                </c:pt>
                <c:pt idx="23">
                  <c:v>24일 후</c:v>
                </c:pt>
                <c:pt idx="24">
                  <c:v>25일 후</c:v>
                </c:pt>
                <c:pt idx="25">
                  <c:v>26일 후</c:v>
                </c:pt>
                <c:pt idx="26">
                  <c:v>27일 후</c:v>
                </c:pt>
                <c:pt idx="27">
                  <c:v>28일 후</c:v>
                </c:pt>
                <c:pt idx="28">
                  <c:v>29일 후</c:v>
                </c:pt>
                <c:pt idx="29">
                  <c:v>30일 후</c:v>
                </c:pt>
                <c:pt idx="30">
                  <c:v>31일 후</c:v>
                </c:pt>
                <c:pt idx="31">
                  <c:v>32일 후</c:v>
                </c:pt>
                <c:pt idx="32">
                  <c:v>33일 후</c:v>
                </c:pt>
                <c:pt idx="33">
                  <c:v>34일 후</c:v>
                </c:pt>
                <c:pt idx="34">
                  <c:v>35일 후</c:v>
                </c:pt>
                <c:pt idx="35">
                  <c:v>36일 후</c:v>
                </c:pt>
                <c:pt idx="36">
                  <c:v>37일 후</c:v>
                </c:pt>
                <c:pt idx="37">
                  <c:v>38일 후</c:v>
                </c:pt>
                <c:pt idx="38">
                  <c:v>39일 후</c:v>
                </c:pt>
                <c:pt idx="39">
                  <c:v>40일 후</c:v>
                </c:pt>
                <c:pt idx="40">
                  <c:v>41일 후</c:v>
                </c:pt>
                <c:pt idx="41">
                  <c:v>42일 후</c:v>
                </c:pt>
                <c:pt idx="42">
                  <c:v>43일 후</c:v>
                </c:pt>
                <c:pt idx="43">
                  <c:v>44일 후</c:v>
                </c:pt>
                <c:pt idx="44">
                  <c:v>45일 후</c:v>
                </c:pt>
                <c:pt idx="45">
                  <c:v>46일 후</c:v>
                </c:pt>
                <c:pt idx="46">
                  <c:v>47일 후</c:v>
                </c:pt>
                <c:pt idx="47">
                  <c:v>48일 후</c:v>
                </c:pt>
                <c:pt idx="48">
                  <c:v>49일 후</c:v>
                </c:pt>
                <c:pt idx="49">
                  <c:v>50일 후</c:v>
                </c:pt>
                <c:pt idx="50">
                  <c:v>51일 후</c:v>
                </c:pt>
                <c:pt idx="51">
                  <c:v>52일 후</c:v>
                </c:pt>
                <c:pt idx="52">
                  <c:v>53일 후</c:v>
                </c:pt>
                <c:pt idx="53">
                  <c:v>54일 후</c:v>
                </c:pt>
                <c:pt idx="54">
                  <c:v>55일 후</c:v>
                </c:pt>
                <c:pt idx="55">
                  <c:v>56일 후</c:v>
                </c:pt>
                <c:pt idx="56">
                  <c:v>57일 후</c:v>
                </c:pt>
                <c:pt idx="57">
                  <c:v>58일 후</c:v>
                </c:pt>
                <c:pt idx="58">
                  <c:v>59일 후</c:v>
                </c:pt>
                <c:pt idx="59">
                  <c:v>60일 후</c:v>
                </c:pt>
                <c:pt idx="60">
                  <c:v>61일 후</c:v>
                </c:pt>
                <c:pt idx="61">
                  <c:v>62일 후</c:v>
                </c:pt>
                <c:pt idx="62">
                  <c:v>63일 후</c:v>
                </c:pt>
                <c:pt idx="63">
                  <c:v>64일 후</c:v>
                </c:pt>
                <c:pt idx="64">
                  <c:v>65일 후</c:v>
                </c:pt>
                <c:pt idx="65">
                  <c:v>66일 후</c:v>
                </c:pt>
                <c:pt idx="66">
                  <c:v>67일 후</c:v>
                </c:pt>
                <c:pt idx="67">
                  <c:v>68일 후</c:v>
                </c:pt>
                <c:pt idx="68">
                  <c:v>69일 후</c:v>
                </c:pt>
                <c:pt idx="69">
                  <c:v>70일 후</c:v>
                </c:pt>
                <c:pt idx="70">
                  <c:v>71일 후</c:v>
                </c:pt>
                <c:pt idx="71">
                  <c:v>72일 후</c:v>
                </c:pt>
                <c:pt idx="72">
                  <c:v>73일 후</c:v>
                </c:pt>
                <c:pt idx="73">
                  <c:v>74일 후</c:v>
                </c:pt>
                <c:pt idx="74">
                  <c:v>75일 후</c:v>
                </c:pt>
                <c:pt idx="75">
                  <c:v>76일 후</c:v>
                </c:pt>
                <c:pt idx="76">
                  <c:v>77일 후</c:v>
                </c:pt>
                <c:pt idx="77">
                  <c:v>78일 후</c:v>
                </c:pt>
                <c:pt idx="78">
                  <c:v>79일 후</c:v>
                </c:pt>
                <c:pt idx="79">
                  <c:v>80일 후</c:v>
                </c:pt>
                <c:pt idx="80">
                  <c:v>81일 후</c:v>
                </c:pt>
                <c:pt idx="81">
                  <c:v>82일 후</c:v>
                </c:pt>
                <c:pt idx="82">
                  <c:v>83일 후</c:v>
                </c:pt>
                <c:pt idx="83">
                  <c:v>84일 후</c:v>
                </c:pt>
                <c:pt idx="84">
                  <c:v>85일 후</c:v>
                </c:pt>
                <c:pt idx="85">
                  <c:v>86일 후</c:v>
                </c:pt>
                <c:pt idx="86">
                  <c:v>87일 후</c:v>
                </c:pt>
                <c:pt idx="87">
                  <c:v>88일 후</c:v>
                </c:pt>
                <c:pt idx="88">
                  <c:v>89일 후</c:v>
                </c:pt>
                <c:pt idx="89">
                  <c:v>90일 후</c:v>
                </c:pt>
                <c:pt idx="90">
                  <c:v>91일 후</c:v>
                </c:pt>
                <c:pt idx="91">
                  <c:v>92일 후</c:v>
                </c:pt>
                <c:pt idx="92">
                  <c:v>93일 후</c:v>
                </c:pt>
                <c:pt idx="93">
                  <c:v>94일 후</c:v>
                </c:pt>
                <c:pt idx="94">
                  <c:v>95일 후</c:v>
                </c:pt>
                <c:pt idx="95">
                  <c:v>96일 후</c:v>
                </c:pt>
                <c:pt idx="96">
                  <c:v>97일 후</c:v>
                </c:pt>
                <c:pt idx="97">
                  <c:v>98일 후</c:v>
                </c:pt>
                <c:pt idx="98">
                  <c:v>99일 후</c:v>
                </c:pt>
                <c:pt idx="99">
                  <c:v>100일 후</c:v>
                </c:pt>
                <c:pt idx="100">
                  <c:v>101일 후</c:v>
                </c:pt>
                <c:pt idx="101">
                  <c:v>102일 후</c:v>
                </c:pt>
                <c:pt idx="102">
                  <c:v>103일 후</c:v>
                </c:pt>
                <c:pt idx="103">
                  <c:v>104일 후</c:v>
                </c:pt>
                <c:pt idx="104">
                  <c:v>105일 후</c:v>
                </c:pt>
                <c:pt idx="105">
                  <c:v>106일 후</c:v>
                </c:pt>
                <c:pt idx="106">
                  <c:v>107일 후</c:v>
                </c:pt>
                <c:pt idx="107">
                  <c:v>108일 후</c:v>
                </c:pt>
                <c:pt idx="108">
                  <c:v>109일 후</c:v>
                </c:pt>
                <c:pt idx="109">
                  <c:v>110일 후</c:v>
                </c:pt>
                <c:pt idx="110">
                  <c:v>111일 후</c:v>
                </c:pt>
                <c:pt idx="111">
                  <c:v>112일 후</c:v>
                </c:pt>
                <c:pt idx="112">
                  <c:v>113일 후</c:v>
                </c:pt>
                <c:pt idx="113">
                  <c:v>114일 후</c:v>
                </c:pt>
                <c:pt idx="114">
                  <c:v>115일 후</c:v>
                </c:pt>
                <c:pt idx="115">
                  <c:v>116일 후</c:v>
                </c:pt>
                <c:pt idx="116">
                  <c:v>117일 후</c:v>
                </c:pt>
                <c:pt idx="117">
                  <c:v>118일 후</c:v>
                </c:pt>
                <c:pt idx="118">
                  <c:v>119일 후</c:v>
                </c:pt>
                <c:pt idx="119">
                  <c:v>120일 후</c:v>
                </c:pt>
                <c:pt idx="120">
                  <c:v>121일 후</c:v>
                </c:pt>
                <c:pt idx="121">
                  <c:v>122일 후</c:v>
                </c:pt>
                <c:pt idx="122">
                  <c:v>123일 후</c:v>
                </c:pt>
                <c:pt idx="123">
                  <c:v>124일 후</c:v>
                </c:pt>
                <c:pt idx="124">
                  <c:v>125일 후</c:v>
                </c:pt>
                <c:pt idx="125">
                  <c:v>126일 후</c:v>
                </c:pt>
                <c:pt idx="126">
                  <c:v>127일 후</c:v>
                </c:pt>
                <c:pt idx="127">
                  <c:v>128일 후</c:v>
                </c:pt>
                <c:pt idx="128">
                  <c:v>129일 후</c:v>
                </c:pt>
                <c:pt idx="129">
                  <c:v>130일 후</c:v>
                </c:pt>
                <c:pt idx="130">
                  <c:v>131일 후</c:v>
                </c:pt>
                <c:pt idx="131">
                  <c:v>132일 후</c:v>
                </c:pt>
                <c:pt idx="132">
                  <c:v>133일 후</c:v>
                </c:pt>
                <c:pt idx="133">
                  <c:v>134일 후</c:v>
                </c:pt>
                <c:pt idx="134">
                  <c:v>135일 후</c:v>
                </c:pt>
                <c:pt idx="135">
                  <c:v>136일 후</c:v>
                </c:pt>
                <c:pt idx="136">
                  <c:v>137일 후</c:v>
                </c:pt>
                <c:pt idx="137">
                  <c:v>138일 후</c:v>
                </c:pt>
                <c:pt idx="138">
                  <c:v>139일 후</c:v>
                </c:pt>
                <c:pt idx="139">
                  <c:v>140일 후</c:v>
                </c:pt>
                <c:pt idx="140">
                  <c:v>141일 후</c:v>
                </c:pt>
                <c:pt idx="141">
                  <c:v>142일 후</c:v>
                </c:pt>
                <c:pt idx="142">
                  <c:v>143일 후</c:v>
                </c:pt>
                <c:pt idx="143">
                  <c:v>144일 후</c:v>
                </c:pt>
                <c:pt idx="144">
                  <c:v>145일 후</c:v>
                </c:pt>
                <c:pt idx="145">
                  <c:v>146일 후</c:v>
                </c:pt>
                <c:pt idx="146">
                  <c:v>147일 후</c:v>
                </c:pt>
                <c:pt idx="147">
                  <c:v>148일 후</c:v>
                </c:pt>
                <c:pt idx="148">
                  <c:v>149일 후</c:v>
                </c:pt>
                <c:pt idx="149">
                  <c:v>150일 후</c:v>
                </c:pt>
                <c:pt idx="150">
                  <c:v>151일 후</c:v>
                </c:pt>
                <c:pt idx="151">
                  <c:v>152일 후</c:v>
                </c:pt>
                <c:pt idx="152">
                  <c:v>153일 후</c:v>
                </c:pt>
                <c:pt idx="153">
                  <c:v>154일 후</c:v>
                </c:pt>
                <c:pt idx="154">
                  <c:v>155일 후</c:v>
                </c:pt>
                <c:pt idx="155">
                  <c:v>156일 후</c:v>
                </c:pt>
                <c:pt idx="156">
                  <c:v>157일 후</c:v>
                </c:pt>
                <c:pt idx="157">
                  <c:v>158일 후</c:v>
                </c:pt>
                <c:pt idx="158">
                  <c:v>159일 후</c:v>
                </c:pt>
                <c:pt idx="159">
                  <c:v>160일 후</c:v>
                </c:pt>
                <c:pt idx="160">
                  <c:v>161일 후</c:v>
                </c:pt>
                <c:pt idx="161">
                  <c:v>162일 후</c:v>
                </c:pt>
                <c:pt idx="162">
                  <c:v>163일 후</c:v>
                </c:pt>
                <c:pt idx="163">
                  <c:v>164일 후</c:v>
                </c:pt>
                <c:pt idx="164">
                  <c:v>165일 후</c:v>
                </c:pt>
                <c:pt idx="165">
                  <c:v>166일 후</c:v>
                </c:pt>
                <c:pt idx="166">
                  <c:v>167일 후</c:v>
                </c:pt>
                <c:pt idx="167">
                  <c:v>168일 후</c:v>
                </c:pt>
                <c:pt idx="168">
                  <c:v>169일 후</c:v>
                </c:pt>
                <c:pt idx="169">
                  <c:v>170일 후</c:v>
                </c:pt>
                <c:pt idx="170">
                  <c:v>171일 후</c:v>
                </c:pt>
                <c:pt idx="171">
                  <c:v>172일 후</c:v>
                </c:pt>
                <c:pt idx="172">
                  <c:v>173일 후</c:v>
                </c:pt>
                <c:pt idx="173">
                  <c:v>174일 후</c:v>
                </c:pt>
                <c:pt idx="174">
                  <c:v>175일 후</c:v>
                </c:pt>
                <c:pt idx="175">
                  <c:v>176일 후</c:v>
                </c:pt>
                <c:pt idx="176">
                  <c:v>177일 후</c:v>
                </c:pt>
                <c:pt idx="177">
                  <c:v>178일 후</c:v>
                </c:pt>
                <c:pt idx="178">
                  <c:v>179일 후</c:v>
                </c:pt>
                <c:pt idx="179">
                  <c:v>180일 후</c:v>
                </c:pt>
                <c:pt idx="180">
                  <c:v>181일 후</c:v>
                </c:pt>
                <c:pt idx="181">
                  <c:v>182일 후</c:v>
                </c:pt>
                <c:pt idx="182">
                  <c:v>183일 후</c:v>
                </c:pt>
                <c:pt idx="183">
                  <c:v>184일 후</c:v>
                </c:pt>
                <c:pt idx="184">
                  <c:v>185일 후</c:v>
                </c:pt>
                <c:pt idx="185">
                  <c:v>186일 후</c:v>
                </c:pt>
                <c:pt idx="186">
                  <c:v>187일 후</c:v>
                </c:pt>
                <c:pt idx="187">
                  <c:v>188일 후</c:v>
                </c:pt>
                <c:pt idx="188">
                  <c:v>189일 후</c:v>
                </c:pt>
                <c:pt idx="189">
                  <c:v>190일 후</c:v>
                </c:pt>
                <c:pt idx="190">
                  <c:v>191일 후</c:v>
                </c:pt>
                <c:pt idx="191">
                  <c:v>192일 후</c:v>
                </c:pt>
                <c:pt idx="192">
                  <c:v>193일 후</c:v>
                </c:pt>
                <c:pt idx="193">
                  <c:v>194일 후</c:v>
                </c:pt>
                <c:pt idx="194">
                  <c:v>195일 후</c:v>
                </c:pt>
                <c:pt idx="195">
                  <c:v>196일 후</c:v>
                </c:pt>
                <c:pt idx="196">
                  <c:v>197일 후</c:v>
                </c:pt>
                <c:pt idx="197">
                  <c:v>198일 후</c:v>
                </c:pt>
                <c:pt idx="198">
                  <c:v>199일 후</c:v>
                </c:pt>
                <c:pt idx="199">
                  <c:v>200일 후</c:v>
                </c:pt>
                <c:pt idx="200">
                  <c:v>201일 후</c:v>
                </c:pt>
                <c:pt idx="201">
                  <c:v>202일 후</c:v>
                </c:pt>
                <c:pt idx="202">
                  <c:v>203일 후</c:v>
                </c:pt>
                <c:pt idx="203">
                  <c:v>204일 후</c:v>
                </c:pt>
                <c:pt idx="204">
                  <c:v>205일 후</c:v>
                </c:pt>
                <c:pt idx="205">
                  <c:v>206일 후</c:v>
                </c:pt>
                <c:pt idx="206">
                  <c:v>207일 후</c:v>
                </c:pt>
                <c:pt idx="207">
                  <c:v>208일 후</c:v>
                </c:pt>
                <c:pt idx="208">
                  <c:v>209일 후</c:v>
                </c:pt>
                <c:pt idx="209">
                  <c:v>210일 후</c:v>
                </c:pt>
                <c:pt idx="210">
                  <c:v>211일 후</c:v>
                </c:pt>
                <c:pt idx="211">
                  <c:v>212일 후</c:v>
                </c:pt>
                <c:pt idx="212">
                  <c:v>213일 후</c:v>
                </c:pt>
                <c:pt idx="213">
                  <c:v>214일 후</c:v>
                </c:pt>
                <c:pt idx="214">
                  <c:v>215일 후</c:v>
                </c:pt>
                <c:pt idx="215">
                  <c:v>216일 후</c:v>
                </c:pt>
                <c:pt idx="216">
                  <c:v>217일 후</c:v>
                </c:pt>
                <c:pt idx="217">
                  <c:v>218일 후</c:v>
                </c:pt>
                <c:pt idx="218">
                  <c:v>219일 후</c:v>
                </c:pt>
                <c:pt idx="219">
                  <c:v>220일 후</c:v>
                </c:pt>
                <c:pt idx="220">
                  <c:v>221일 후</c:v>
                </c:pt>
                <c:pt idx="221">
                  <c:v>222일 후</c:v>
                </c:pt>
                <c:pt idx="222">
                  <c:v>223일 후</c:v>
                </c:pt>
                <c:pt idx="223">
                  <c:v>224일 후</c:v>
                </c:pt>
                <c:pt idx="224">
                  <c:v>225일 후</c:v>
                </c:pt>
                <c:pt idx="225">
                  <c:v>226일 후</c:v>
                </c:pt>
                <c:pt idx="226">
                  <c:v>227일 후</c:v>
                </c:pt>
                <c:pt idx="227">
                  <c:v>228일 후</c:v>
                </c:pt>
                <c:pt idx="228">
                  <c:v>229일 후</c:v>
                </c:pt>
                <c:pt idx="229">
                  <c:v>230일 후</c:v>
                </c:pt>
                <c:pt idx="230">
                  <c:v>231일 후</c:v>
                </c:pt>
                <c:pt idx="231">
                  <c:v>232일 후</c:v>
                </c:pt>
                <c:pt idx="232">
                  <c:v>233일 후</c:v>
                </c:pt>
                <c:pt idx="233">
                  <c:v>234일 후</c:v>
                </c:pt>
                <c:pt idx="234">
                  <c:v>235일 후</c:v>
                </c:pt>
                <c:pt idx="235">
                  <c:v>236일 후</c:v>
                </c:pt>
                <c:pt idx="236">
                  <c:v>237일 후</c:v>
                </c:pt>
                <c:pt idx="237">
                  <c:v>238일 후</c:v>
                </c:pt>
                <c:pt idx="238">
                  <c:v>239일 후</c:v>
                </c:pt>
                <c:pt idx="239">
                  <c:v>240일 후</c:v>
                </c:pt>
                <c:pt idx="240">
                  <c:v>241일 후</c:v>
                </c:pt>
                <c:pt idx="241">
                  <c:v>242일 후</c:v>
                </c:pt>
                <c:pt idx="242">
                  <c:v>243일 후</c:v>
                </c:pt>
                <c:pt idx="243">
                  <c:v>244일 후</c:v>
                </c:pt>
                <c:pt idx="244">
                  <c:v>245일 후</c:v>
                </c:pt>
                <c:pt idx="245">
                  <c:v>246일 후</c:v>
                </c:pt>
                <c:pt idx="246">
                  <c:v>247일 후</c:v>
                </c:pt>
                <c:pt idx="247">
                  <c:v>248일 후</c:v>
                </c:pt>
                <c:pt idx="248">
                  <c:v>249일 후</c:v>
                </c:pt>
                <c:pt idx="249">
                  <c:v>250일 후</c:v>
                </c:pt>
                <c:pt idx="250">
                  <c:v>251일 후</c:v>
                </c:pt>
                <c:pt idx="251">
                  <c:v>252일 후</c:v>
                </c:pt>
                <c:pt idx="252">
                  <c:v>253일 후</c:v>
                </c:pt>
                <c:pt idx="253">
                  <c:v>254일 후</c:v>
                </c:pt>
                <c:pt idx="254">
                  <c:v>255일 후</c:v>
                </c:pt>
                <c:pt idx="255">
                  <c:v>256일 후</c:v>
                </c:pt>
                <c:pt idx="256">
                  <c:v>257일 후</c:v>
                </c:pt>
                <c:pt idx="257">
                  <c:v>258일 후</c:v>
                </c:pt>
                <c:pt idx="258">
                  <c:v>259일 후</c:v>
                </c:pt>
                <c:pt idx="259">
                  <c:v>260일 후</c:v>
                </c:pt>
                <c:pt idx="260">
                  <c:v>261일 후</c:v>
                </c:pt>
                <c:pt idx="261">
                  <c:v>262일 후</c:v>
                </c:pt>
                <c:pt idx="262">
                  <c:v>263일 후</c:v>
                </c:pt>
                <c:pt idx="263">
                  <c:v>264일 후</c:v>
                </c:pt>
                <c:pt idx="264">
                  <c:v>265일 후</c:v>
                </c:pt>
                <c:pt idx="265">
                  <c:v>266일 후</c:v>
                </c:pt>
                <c:pt idx="266">
                  <c:v>267일 후</c:v>
                </c:pt>
                <c:pt idx="267">
                  <c:v>268일 후</c:v>
                </c:pt>
                <c:pt idx="268">
                  <c:v>269일 후</c:v>
                </c:pt>
                <c:pt idx="269">
                  <c:v>270일 후</c:v>
                </c:pt>
                <c:pt idx="270">
                  <c:v>271일 후</c:v>
                </c:pt>
                <c:pt idx="271">
                  <c:v>272일 후</c:v>
                </c:pt>
                <c:pt idx="272">
                  <c:v>273일 후</c:v>
                </c:pt>
                <c:pt idx="273">
                  <c:v>274일 후</c:v>
                </c:pt>
                <c:pt idx="274">
                  <c:v>275일 후</c:v>
                </c:pt>
                <c:pt idx="275">
                  <c:v>276일 후</c:v>
                </c:pt>
                <c:pt idx="276">
                  <c:v>277일 후</c:v>
                </c:pt>
                <c:pt idx="277">
                  <c:v>278일 후</c:v>
                </c:pt>
                <c:pt idx="278">
                  <c:v>279일 후</c:v>
                </c:pt>
                <c:pt idx="279">
                  <c:v>280일 후</c:v>
                </c:pt>
                <c:pt idx="280">
                  <c:v>281일 후</c:v>
                </c:pt>
                <c:pt idx="281">
                  <c:v>282일 후</c:v>
                </c:pt>
                <c:pt idx="282">
                  <c:v>283일 후</c:v>
                </c:pt>
                <c:pt idx="283">
                  <c:v>284일 후</c:v>
                </c:pt>
                <c:pt idx="284">
                  <c:v>285일 후</c:v>
                </c:pt>
                <c:pt idx="285">
                  <c:v>286일 후</c:v>
                </c:pt>
                <c:pt idx="286">
                  <c:v>287일 후</c:v>
                </c:pt>
                <c:pt idx="287">
                  <c:v>288일 후</c:v>
                </c:pt>
                <c:pt idx="288">
                  <c:v>289일 후</c:v>
                </c:pt>
                <c:pt idx="289">
                  <c:v>290일 후</c:v>
                </c:pt>
                <c:pt idx="290">
                  <c:v>291일 후</c:v>
                </c:pt>
                <c:pt idx="291">
                  <c:v>292일 후</c:v>
                </c:pt>
                <c:pt idx="292">
                  <c:v>293일 후</c:v>
                </c:pt>
                <c:pt idx="293">
                  <c:v>294일 후</c:v>
                </c:pt>
                <c:pt idx="294">
                  <c:v>295일 후</c:v>
                </c:pt>
                <c:pt idx="295">
                  <c:v>296일 후</c:v>
                </c:pt>
                <c:pt idx="296">
                  <c:v>297일 후</c:v>
                </c:pt>
                <c:pt idx="297">
                  <c:v>298일 후</c:v>
                </c:pt>
                <c:pt idx="298">
                  <c:v>299일 후</c:v>
                </c:pt>
                <c:pt idx="299">
                  <c:v>300일 후</c:v>
                </c:pt>
              </c:strCache>
            </c:strRef>
          </c:cat>
          <c:val>
            <c:numRef>
              <c:f>'주가 예측'!$B$5:$B$304</c:f>
              <c:numCache>
                <c:formatCode>General</c:formatCode>
                <c:ptCount val="300"/>
                <c:pt idx="0">
                  <c:v>6851.0201750406814</c:v>
                </c:pt>
                <c:pt idx="1">
                  <c:v>6774.7903670886344</c:v>
                </c:pt>
                <c:pt idx="2">
                  <c:v>6728.5391442565797</c:v>
                </c:pt>
                <c:pt idx="3">
                  <c:v>7146.9029846741341</c:v>
                </c:pt>
                <c:pt idx="4">
                  <c:v>6451.8195324002691</c:v>
                </c:pt>
                <c:pt idx="5">
                  <c:v>6750.5983355279595</c:v>
                </c:pt>
                <c:pt idx="6">
                  <c:v>6848.7433271519749</c:v>
                </c:pt>
                <c:pt idx="7">
                  <c:v>6619.7395132848369</c:v>
                </c:pt>
                <c:pt idx="8">
                  <c:v>6733.4815462250181</c:v>
                </c:pt>
                <c:pt idx="9">
                  <c:v>6669.3866674464825</c:v>
                </c:pt>
                <c:pt idx="10">
                  <c:v>6169.3257300923078</c:v>
                </c:pt>
                <c:pt idx="11">
                  <c:v>6413.0128695507956</c:v>
                </c:pt>
                <c:pt idx="12">
                  <c:v>7142.3792156763338</c:v>
                </c:pt>
                <c:pt idx="13">
                  <c:v>6840.6658067445514</c:v>
                </c:pt>
                <c:pt idx="14">
                  <c:v>7141.1831070296757</c:v>
                </c:pt>
                <c:pt idx="15">
                  <c:v>7009.2042717942295</c:v>
                </c:pt>
                <c:pt idx="16">
                  <c:v>6698.0676955851304</c:v>
                </c:pt>
                <c:pt idx="17">
                  <c:v>6588.1056003550229</c:v>
                </c:pt>
                <c:pt idx="18">
                  <c:v>6822.9302874415025</c:v>
                </c:pt>
                <c:pt idx="19">
                  <c:v>6782.4365355765531</c:v>
                </c:pt>
                <c:pt idx="20">
                  <c:v>6934.3214369115285</c:v>
                </c:pt>
                <c:pt idx="21">
                  <c:v>6687.2149956614358</c:v>
                </c:pt>
                <c:pt idx="22">
                  <c:v>6582.2010484391067</c:v>
                </c:pt>
                <c:pt idx="23">
                  <c:v>6146.8554834438319</c:v>
                </c:pt>
                <c:pt idx="24">
                  <c:v>6449.180939654646</c:v>
                </c:pt>
                <c:pt idx="25">
                  <c:v>6308.7100495787408</c:v>
                </c:pt>
                <c:pt idx="26">
                  <c:v>6399.92530648927</c:v>
                </c:pt>
                <c:pt idx="27">
                  <c:v>6680.3196627281686</c:v>
                </c:pt>
                <c:pt idx="28">
                  <c:v>6787.6723749340244</c:v>
                </c:pt>
                <c:pt idx="29">
                  <c:v>6752.3530380177908</c:v>
                </c:pt>
                <c:pt idx="30">
                  <c:v>7053.114694827208</c:v>
                </c:pt>
                <c:pt idx="31">
                  <c:v>7326.2220984239548</c:v>
                </c:pt>
                <c:pt idx="32">
                  <c:v>7388.6073886540289</c:v>
                </c:pt>
                <c:pt idx="33">
                  <c:v>7294.9132125894248</c:v>
                </c:pt>
                <c:pt idx="34">
                  <c:v>6838.6060615097667</c:v>
                </c:pt>
                <c:pt idx="35">
                  <c:v>6678.6653447615081</c:v>
                </c:pt>
                <c:pt idx="36">
                  <c:v>6333.7329277770696</c:v>
                </c:pt>
                <c:pt idx="37">
                  <c:v>7449.1024327203986</c:v>
                </c:pt>
                <c:pt idx="38">
                  <c:v>7541.4337235398471</c:v>
                </c:pt>
                <c:pt idx="39">
                  <c:v>8010.4143431574221</c:v>
                </c:pt>
                <c:pt idx="40">
                  <c:v>7378.9112621634767</c:v>
                </c:pt>
                <c:pt idx="41">
                  <c:v>7727.0606755525332</c:v>
                </c:pt>
                <c:pt idx="42">
                  <c:v>7691.3749160152393</c:v>
                </c:pt>
                <c:pt idx="43">
                  <c:v>7154.404090535294</c:v>
                </c:pt>
                <c:pt idx="44">
                  <c:v>7065.8351857266525</c:v>
                </c:pt>
                <c:pt idx="45">
                  <c:v>7689.3308249411148</c:v>
                </c:pt>
                <c:pt idx="46">
                  <c:v>7411.3186522241931</c:v>
                </c:pt>
                <c:pt idx="47">
                  <c:v>6899.9801071184138</c:v>
                </c:pt>
                <c:pt idx="48">
                  <c:v>7044.2357029448858</c:v>
                </c:pt>
                <c:pt idx="49">
                  <c:v>6718.1041158036023</c:v>
                </c:pt>
                <c:pt idx="50">
                  <c:v>6226.442758689479</c:v>
                </c:pt>
                <c:pt idx="51">
                  <c:v>6501.8140904963602</c:v>
                </c:pt>
                <c:pt idx="52">
                  <c:v>6235.4486819389213</c:v>
                </c:pt>
                <c:pt idx="53">
                  <c:v>5755.9892090682933</c:v>
                </c:pt>
                <c:pt idx="54">
                  <c:v>6011.4847437737171</c:v>
                </c:pt>
                <c:pt idx="55">
                  <c:v>6011.2483717065961</c:v>
                </c:pt>
                <c:pt idx="56">
                  <c:v>5294.4666382470696</c:v>
                </c:pt>
                <c:pt idx="57">
                  <c:v>4840.270927578651</c:v>
                </c:pt>
                <c:pt idx="58">
                  <c:v>4756.4957798239593</c:v>
                </c:pt>
                <c:pt idx="59">
                  <c:v>5258.5207234870504</c:v>
                </c:pt>
                <c:pt idx="60">
                  <c:v>5136.9489708014207</c:v>
                </c:pt>
                <c:pt idx="61">
                  <c:v>5023.2420191432848</c:v>
                </c:pt>
                <c:pt idx="62">
                  <c:v>4957.074307396213</c:v>
                </c:pt>
                <c:pt idx="63">
                  <c:v>4907.3698056848461</c:v>
                </c:pt>
                <c:pt idx="64">
                  <c:v>5258.4647110191509</c:v>
                </c:pt>
                <c:pt idx="65">
                  <c:v>5633.61115568284</c:v>
                </c:pt>
                <c:pt idx="66">
                  <c:v>5843.5749100406392</c:v>
                </c:pt>
                <c:pt idx="67">
                  <c:v>6031.6980936641012</c:v>
                </c:pt>
                <c:pt idx="68">
                  <c:v>6038.6211035266097</c:v>
                </c:pt>
                <c:pt idx="69">
                  <c:v>5770.012870795902</c:v>
                </c:pt>
                <c:pt idx="70">
                  <c:v>6359.4198677883978</c:v>
                </c:pt>
                <c:pt idx="71">
                  <c:v>5917.6198080275008</c:v>
                </c:pt>
                <c:pt idx="72">
                  <c:v>5677.5729334750449</c:v>
                </c:pt>
                <c:pt idx="73">
                  <c:v>5461.3753086184806</c:v>
                </c:pt>
                <c:pt idx="74">
                  <c:v>5216.5581007146075</c:v>
                </c:pt>
                <c:pt idx="75">
                  <c:v>5214.319127389429</c:v>
                </c:pt>
                <c:pt idx="76">
                  <c:v>4731.7201926403686</c:v>
                </c:pt>
                <c:pt idx="77">
                  <c:v>4333.7931689864627</c:v>
                </c:pt>
                <c:pt idx="78">
                  <c:v>4024.6352636277284</c:v>
                </c:pt>
                <c:pt idx="79">
                  <c:v>3883.8035440099102</c:v>
                </c:pt>
                <c:pt idx="80">
                  <c:v>4272.6982204317837</c:v>
                </c:pt>
                <c:pt idx="81">
                  <c:v>3845.9082857021995</c:v>
                </c:pt>
                <c:pt idx="82">
                  <c:v>3801.462697785274</c:v>
                </c:pt>
                <c:pt idx="83">
                  <c:v>4306.5719237749709</c:v>
                </c:pt>
                <c:pt idx="84">
                  <c:v>4059.0273174062672</c:v>
                </c:pt>
                <c:pt idx="85">
                  <c:v>3697.5461892026251</c:v>
                </c:pt>
                <c:pt idx="86">
                  <c:v>3878.8018927500752</c:v>
                </c:pt>
                <c:pt idx="87">
                  <c:v>3629.0053507087282</c:v>
                </c:pt>
                <c:pt idx="88">
                  <c:v>3358.4669212644339</c:v>
                </c:pt>
                <c:pt idx="89">
                  <c:v>3211.6884351871795</c:v>
                </c:pt>
                <c:pt idx="90">
                  <c:v>2905.322179715256</c:v>
                </c:pt>
                <c:pt idx="91">
                  <c:v>3238.3161751859097</c:v>
                </c:pt>
                <c:pt idx="92">
                  <c:v>3104.9597306368905</c:v>
                </c:pt>
                <c:pt idx="93">
                  <c:v>2937.6354670816681</c:v>
                </c:pt>
                <c:pt idx="94">
                  <c:v>2865.1666779069737</c:v>
                </c:pt>
                <c:pt idx="95">
                  <c:v>2626.1484364499015</c:v>
                </c:pt>
                <c:pt idx="96">
                  <c:v>2776.4472187699316</c:v>
                </c:pt>
                <c:pt idx="97">
                  <c:v>2660.5955489230701</c:v>
                </c:pt>
                <c:pt idx="98">
                  <c:v>2832.9245525246438</c:v>
                </c:pt>
                <c:pt idx="99">
                  <c:v>3023.5245951488741</c:v>
                </c:pt>
                <c:pt idx="100">
                  <c:v>3069.1546506263462</c:v>
                </c:pt>
                <c:pt idx="101">
                  <c:v>2772.274004998168</c:v>
                </c:pt>
                <c:pt idx="102">
                  <c:v>2880.7084610701108</c:v>
                </c:pt>
                <c:pt idx="103">
                  <c:v>2753.1777458507199</c:v>
                </c:pt>
                <c:pt idx="104">
                  <c:v>2722.6754737894616</c:v>
                </c:pt>
                <c:pt idx="105">
                  <c:v>2774.8828214424479</c:v>
                </c:pt>
                <c:pt idx="106">
                  <c:v>2669.2246330108896</c:v>
                </c:pt>
                <c:pt idx="107">
                  <c:v>2713.8235455833428</c:v>
                </c:pt>
                <c:pt idx="108">
                  <c:v>2567.0483180838824</c:v>
                </c:pt>
                <c:pt idx="109">
                  <c:v>2523.4509703668459</c:v>
                </c:pt>
                <c:pt idx="110">
                  <c:v>2437.2814667162475</c:v>
                </c:pt>
                <c:pt idx="111">
                  <c:v>2273.7402337299154</c:v>
                </c:pt>
                <c:pt idx="112">
                  <c:v>2324.7651927775069</c:v>
                </c:pt>
                <c:pt idx="113">
                  <c:v>2216.7491300551728</c:v>
                </c:pt>
                <c:pt idx="114">
                  <c:v>2248.7266301122595</c:v>
                </c:pt>
                <c:pt idx="115">
                  <c:v>2281.0495314362774</c:v>
                </c:pt>
                <c:pt idx="116">
                  <c:v>2364.098628365025</c:v>
                </c:pt>
                <c:pt idx="117">
                  <c:v>2380.5168155935435</c:v>
                </c:pt>
                <c:pt idx="118">
                  <c:v>2287.7281377056138</c:v>
                </c:pt>
                <c:pt idx="119">
                  <c:v>2275.3490649392634</c:v>
                </c:pt>
                <c:pt idx="120">
                  <c:v>2212.7976995928248</c:v>
                </c:pt>
                <c:pt idx="121">
                  <c:v>2201.5414227356755</c:v>
                </c:pt>
                <c:pt idx="122">
                  <c:v>2120.1264130121158</c:v>
                </c:pt>
                <c:pt idx="123">
                  <c:v>2286.5025670255563</c:v>
                </c:pt>
                <c:pt idx="124">
                  <c:v>2279.1320870921513</c:v>
                </c:pt>
                <c:pt idx="125">
                  <c:v>2247.4514579138258</c:v>
                </c:pt>
                <c:pt idx="126">
                  <c:v>2035.7143968182218</c:v>
                </c:pt>
                <c:pt idx="127">
                  <c:v>1931.0420801560729</c:v>
                </c:pt>
                <c:pt idx="128">
                  <c:v>1961.7539928900301</c:v>
                </c:pt>
                <c:pt idx="129">
                  <c:v>2023.5643407890548</c:v>
                </c:pt>
                <c:pt idx="130">
                  <c:v>2111.9731398042491</c:v>
                </c:pt>
                <c:pt idx="131">
                  <c:v>2166.4494801148567</c:v>
                </c:pt>
                <c:pt idx="132">
                  <c:v>2378.9988663832432</c:v>
                </c:pt>
                <c:pt idx="133">
                  <c:v>2353.4584802069139</c:v>
                </c:pt>
                <c:pt idx="134">
                  <c:v>2526.1042483778965</c:v>
                </c:pt>
                <c:pt idx="135">
                  <c:v>2336.7614631234578</c:v>
                </c:pt>
                <c:pt idx="136">
                  <c:v>2120.2279828864966</c:v>
                </c:pt>
                <c:pt idx="137">
                  <c:v>2019.7455926478676</c:v>
                </c:pt>
                <c:pt idx="138">
                  <c:v>2038.9076418026375</c:v>
                </c:pt>
                <c:pt idx="139">
                  <c:v>2084.3977615738527</c:v>
                </c:pt>
                <c:pt idx="140">
                  <c:v>1950.0074190565231</c:v>
                </c:pt>
                <c:pt idx="141">
                  <c:v>1980.5456475784461</c:v>
                </c:pt>
                <c:pt idx="142">
                  <c:v>1928.6331825987104</c:v>
                </c:pt>
                <c:pt idx="143">
                  <c:v>1932.2608122963993</c:v>
                </c:pt>
                <c:pt idx="144">
                  <c:v>2081.5573679150411</c:v>
                </c:pt>
                <c:pt idx="145">
                  <c:v>2074.2443813483192</c:v>
                </c:pt>
                <c:pt idx="146">
                  <c:v>2284.2499217988716</c:v>
                </c:pt>
                <c:pt idx="147">
                  <c:v>2490.0229203089516</c:v>
                </c:pt>
                <c:pt idx="148">
                  <c:v>2588.5405147008833</c:v>
                </c:pt>
                <c:pt idx="149">
                  <c:v>2809.8645675727689</c:v>
                </c:pt>
                <c:pt idx="150">
                  <c:v>2911.5616373902112</c:v>
                </c:pt>
                <c:pt idx="151">
                  <c:v>2745.7569381306853</c:v>
                </c:pt>
                <c:pt idx="152">
                  <c:v>2803.1526261593121</c:v>
                </c:pt>
                <c:pt idx="153">
                  <c:v>2935.1766398319419</c:v>
                </c:pt>
                <c:pt idx="154">
                  <c:v>2752.0295485062643</c:v>
                </c:pt>
                <c:pt idx="155">
                  <c:v>2835.7965431579269</c:v>
                </c:pt>
                <c:pt idx="156">
                  <c:v>2788.7481160907914</c:v>
                </c:pt>
                <c:pt idx="157">
                  <c:v>2783.8134368018837</c:v>
                </c:pt>
                <c:pt idx="158">
                  <c:v>2672.2633453557678</c:v>
                </c:pt>
                <c:pt idx="159">
                  <c:v>2524.3997090835437</c:v>
                </c:pt>
                <c:pt idx="160">
                  <c:v>2606.5335827291615</c:v>
                </c:pt>
                <c:pt idx="161">
                  <c:v>2721.1140254771926</c:v>
                </c:pt>
                <c:pt idx="162">
                  <c:v>2819.6605859977808</c:v>
                </c:pt>
                <c:pt idx="163">
                  <c:v>2859.1009383140213</c:v>
                </c:pt>
                <c:pt idx="164">
                  <c:v>3010.8560060377986</c:v>
                </c:pt>
                <c:pt idx="165">
                  <c:v>3088.109176502332</c:v>
                </c:pt>
                <c:pt idx="166">
                  <c:v>3188.184671806745</c:v>
                </c:pt>
                <c:pt idx="167">
                  <c:v>3125.8114291744037</c:v>
                </c:pt>
                <c:pt idx="168">
                  <c:v>3048.6186361804253</c:v>
                </c:pt>
                <c:pt idx="169">
                  <c:v>3052.2177625182853</c:v>
                </c:pt>
                <c:pt idx="170">
                  <c:v>3002.9998648144224</c:v>
                </c:pt>
                <c:pt idx="171">
                  <c:v>3314.3644095674235</c:v>
                </c:pt>
                <c:pt idx="172">
                  <c:v>3191.481038612987</c:v>
                </c:pt>
                <c:pt idx="173">
                  <c:v>3542.4662960822075</c:v>
                </c:pt>
                <c:pt idx="174">
                  <c:v>3673.7094818625487</c:v>
                </c:pt>
                <c:pt idx="175">
                  <c:v>3449.2127399520164</c:v>
                </c:pt>
                <c:pt idx="176">
                  <c:v>3537.6001970863654</c:v>
                </c:pt>
                <c:pt idx="177">
                  <c:v>3778.5183425071391</c:v>
                </c:pt>
                <c:pt idx="178">
                  <c:v>3908.2427351474748</c:v>
                </c:pt>
                <c:pt idx="179">
                  <c:v>4034.1679493450697</c:v>
                </c:pt>
                <c:pt idx="180">
                  <c:v>4035.1747645597675</c:v>
                </c:pt>
                <c:pt idx="181">
                  <c:v>4078.7115849945881</c:v>
                </c:pt>
                <c:pt idx="182">
                  <c:v>4487.7946091692002</c:v>
                </c:pt>
                <c:pt idx="183">
                  <c:v>4183.1343737154784</c:v>
                </c:pt>
                <c:pt idx="184">
                  <c:v>4445.4860701345924</c:v>
                </c:pt>
                <c:pt idx="185">
                  <c:v>4696.4246639435369</c:v>
                </c:pt>
                <c:pt idx="186">
                  <c:v>4491.009769156999</c:v>
                </c:pt>
                <c:pt idx="187">
                  <c:v>4499.0366430118165</c:v>
                </c:pt>
                <c:pt idx="188">
                  <c:v>4090.7174492892709</c:v>
                </c:pt>
                <c:pt idx="189">
                  <c:v>4242.5710240301796</c:v>
                </c:pt>
                <c:pt idx="190">
                  <c:v>4241.8417966308598</c:v>
                </c:pt>
                <c:pt idx="191">
                  <c:v>4098.8276979308994</c:v>
                </c:pt>
                <c:pt idx="192">
                  <c:v>4502.8367673777002</c:v>
                </c:pt>
                <c:pt idx="193">
                  <c:v>4540.314408454753</c:v>
                </c:pt>
                <c:pt idx="194">
                  <c:v>4484.7135494372678</c:v>
                </c:pt>
                <c:pt idx="195">
                  <c:v>4311.7362611856561</c:v>
                </c:pt>
                <c:pt idx="196">
                  <c:v>4593.6546652788547</c:v>
                </c:pt>
                <c:pt idx="197">
                  <c:v>4496.4988958328131</c:v>
                </c:pt>
                <c:pt idx="198">
                  <c:v>4608.2077457925288</c:v>
                </c:pt>
                <c:pt idx="199">
                  <c:v>4312.4613706570117</c:v>
                </c:pt>
                <c:pt idx="200">
                  <c:v>3995.0785084463328</c:v>
                </c:pt>
                <c:pt idx="201">
                  <c:v>3822.0991642152439</c:v>
                </c:pt>
                <c:pt idx="202">
                  <c:v>3466.2600586095805</c:v>
                </c:pt>
                <c:pt idx="203">
                  <c:v>3575.6611060660666</c:v>
                </c:pt>
                <c:pt idx="204">
                  <c:v>3433.3188716360405</c:v>
                </c:pt>
                <c:pt idx="205">
                  <c:v>3251.834181890978</c:v>
                </c:pt>
                <c:pt idx="206">
                  <c:v>3176.9864359188159</c:v>
                </c:pt>
                <c:pt idx="207">
                  <c:v>2917.5955597389161</c:v>
                </c:pt>
                <c:pt idx="208">
                  <c:v>2857.6974235737689</c:v>
                </c:pt>
                <c:pt idx="209">
                  <c:v>2738.1672358487185</c:v>
                </c:pt>
                <c:pt idx="210">
                  <c:v>2910.4945470315638</c:v>
                </c:pt>
                <c:pt idx="211">
                  <c:v>2900.2606998573974</c:v>
                </c:pt>
                <c:pt idx="212">
                  <c:v>2939.3788657845143</c:v>
                </c:pt>
                <c:pt idx="213">
                  <c:v>2661.7728575023361</c:v>
                </c:pt>
                <c:pt idx="214">
                  <c:v>2765.8215103136185</c:v>
                </c:pt>
                <c:pt idx="215">
                  <c:v>2645.9989494524671</c:v>
                </c:pt>
                <c:pt idx="216">
                  <c:v>2558.0972372109454</c:v>
                </c:pt>
                <c:pt idx="217">
                  <c:v>2256.5243445197793</c:v>
                </c:pt>
                <c:pt idx="218">
                  <c:v>2173.6815774884381</c:v>
                </c:pt>
                <c:pt idx="219">
                  <c:v>2137.0603362781594</c:v>
                </c:pt>
                <c:pt idx="220">
                  <c:v>2243.2031109386357</c:v>
                </c:pt>
                <c:pt idx="221">
                  <c:v>2278.8171056897845</c:v>
                </c:pt>
                <c:pt idx="222">
                  <c:v>2351.5966093893435</c:v>
                </c:pt>
                <c:pt idx="223">
                  <c:v>2514.3077460991885</c:v>
                </c:pt>
                <c:pt idx="224">
                  <c:v>2450.4859427189044</c:v>
                </c:pt>
                <c:pt idx="225">
                  <c:v>2563.2571631655128</c:v>
                </c:pt>
                <c:pt idx="226">
                  <c:v>2524.7029169186717</c:v>
                </c:pt>
                <c:pt idx="227">
                  <c:v>2491.1550800355549</c:v>
                </c:pt>
                <c:pt idx="228">
                  <c:v>2400.7924237849188</c:v>
                </c:pt>
                <c:pt idx="229">
                  <c:v>2381.5651679296998</c:v>
                </c:pt>
                <c:pt idx="230">
                  <c:v>2465.6891037520336</c:v>
                </c:pt>
                <c:pt idx="231">
                  <c:v>2475.9821049653774</c:v>
                </c:pt>
                <c:pt idx="232">
                  <c:v>2539.6102839006944</c:v>
                </c:pt>
                <c:pt idx="233">
                  <c:v>2545.9320595029085</c:v>
                </c:pt>
                <c:pt idx="234">
                  <c:v>2626.273122509182</c:v>
                </c:pt>
                <c:pt idx="235">
                  <c:v>2432.8799615876137</c:v>
                </c:pt>
                <c:pt idx="236">
                  <c:v>2431.1770380232842</c:v>
                </c:pt>
                <c:pt idx="237">
                  <c:v>2454.6831327853133</c:v>
                </c:pt>
                <c:pt idx="238">
                  <c:v>2697.3540211587415</c:v>
                </c:pt>
                <c:pt idx="239">
                  <c:v>2833.7236670831376</c:v>
                </c:pt>
                <c:pt idx="240">
                  <c:v>3005.8854834463787</c:v>
                </c:pt>
                <c:pt idx="241">
                  <c:v>2913.9825963570111</c:v>
                </c:pt>
                <c:pt idx="242">
                  <c:v>2789.1789114696303</c:v>
                </c:pt>
                <c:pt idx="243">
                  <c:v>2714.5981779400931</c:v>
                </c:pt>
                <c:pt idx="244">
                  <c:v>2472.343298635491</c:v>
                </c:pt>
                <c:pt idx="245">
                  <c:v>2496.9052860622132</c:v>
                </c:pt>
                <c:pt idx="246">
                  <c:v>2495.0810080708302</c:v>
                </c:pt>
                <c:pt idx="247">
                  <c:v>2684.6380296069201</c:v>
                </c:pt>
                <c:pt idx="248">
                  <c:v>2946.5341431668226</c:v>
                </c:pt>
                <c:pt idx="249">
                  <c:v>3086.2971781945848</c:v>
                </c:pt>
                <c:pt idx="250">
                  <c:v>3046.0787747442619</c:v>
                </c:pt>
                <c:pt idx="251">
                  <c:v>2956.1123242808044</c:v>
                </c:pt>
                <c:pt idx="252">
                  <c:v>2786.8734638675801</c:v>
                </c:pt>
                <c:pt idx="253">
                  <c:v>2741.3852974582956</c:v>
                </c:pt>
                <c:pt idx="254">
                  <c:v>2813.2783569667549</c:v>
                </c:pt>
                <c:pt idx="255">
                  <c:v>2805.717416712489</c:v>
                </c:pt>
                <c:pt idx="256">
                  <c:v>2601.2715450970918</c:v>
                </c:pt>
                <c:pt idx="257">
                  <c:v>2605.6373919713274</c:v>
                </c:pt>
                <c:pt idx="258">
                  <c:v>2368.2091162974762</c:v>
                </c:pt>
                <c:pt idx="259">
                  <c:v>2170.5192036277549</c:v>
                </c:pt>
                <c:pt idx="260">
                  <c:v>2086.828494823787</c:v>
                </c:pt>
                <c:pt idx="261">
                  <c:v>2123.7332863534521</c:v>
                </c:pt>
                <c:pt idx="262">
                  <c:v>2077.9939780573322</c:v>
                </c:pt>
                <c:pt idx="263">
                  <c:v>2196.5284951314202</c:v>
                </c:pt>
                <c:pt idx="264">
                  <c:v>2159.5701412245103</c:v>
                </c:pt>
                <c:pt idx="265">
                  <c:v>2063.5738473136375</c:v>
                </c:pt>
                <c:pt idx="266">
                  <c:v>2189.9611230332862</c:v>
                </c:pt>
                <c:pt idx="267">
                  <c:v>2120.5430209807128</c:v>
                </c:pt>
                <c:pt idx="268">
                  <c:v>2146.064040363136</c:v>
                </c:pt>
                <c:pt idx="269">
                  <c:v>2149.0652390974137</c:v>
                </c:pt>
                <c:pt idx="270">
                  <c:v>2233.4057734748649</c:v>
                </c:pt>
                <c:pt idx="271">
                  <c:v>2250.2885827991163</c:v>
                </c:pt>
                <c:pt idx="272">
                  <c:v>2178.4417463917171</c:v>
                </c:pt>
                <c:pt idx="273">
                  <c:v>2280.7326571398053</c:v>
                </c:pt>
                <c:pt idx="274">
                  <c:v>2199.9178527888484</c:v>
                </c:pt>
                <c:pt idx="275">
                  <c:v>2159.4536415957191</c:v>
                </c:pt>
                <c:pt idx="276">
                  <c:v>2052.59609118649</c:v>
                </c:pt>
                <c:pt idx="277">
                  <c:v>1999.9048111483403</c:v>
                </c:pt>
                <c:pt idx="278">
                  <c:v>1933.7805632294328</c:v>
                </c:pt>
                <c:pt idx="279">
                  <c:v>1960.7199224987492</c:v>
                </c:pt>
                <c:pt idx="280">
                  <c:v>2007.1935712357254</c:v>
                </c:pt>
                <c:pt idx="281">
                  <c:v>2002.1134913505005</c:v>
                </c:pt>
                <c:pt idx="282">
                  <c:v>2026.3358319679096</c:v>
                </c:pt>
                <c:pt idx="283">
                  <c:v>1834.963802707799</c:v>
                </c:pt>
                <c:pt idx="284">
                  <c:v>1866.5133342474694</c:v>
                </c:pt>
                <c:pt idx="285">
                  <c:v>1904.3005561456382</c:v>
                </c:pt>
                <c:pt idx="286">
                  <c:v>2266.9871637627839</c:v>
                </c:pt>
                <c:pt idx="287">
                  <c:v>2273.4662379043825</c:v>
                </c:pt>
                <c:pt idx="288">
                  <c:v>2211.0486483812142</c:v>
                </c:pt>
                <c:pt idx="289">
                  <c:v>2073.4366650015795</c:v>
                </c:pt>
                <c:pt idx="290">
                  <c:v>2007.4611242936321</c:v>
                </c:pt>
                <c:pt idx="291">
                  <c:v>1939.5612286494882</c:v>
                </c:pt>
                <c:pt idx="292">
                  <c:v>1936.8146885688591</c:v>
                </c:pt>
                <c:pt idx="293">
                  <c:v>1916.8572341464444</c:v>
                </c:pt>
                <c:pt idx="294">
                  <c:v>1741.3973994684077</c:v>
                </c:pt>
                <c:pt idx="295">
                  <c:v>1859.0752792255564</c:v>
                </c:pt>
                <c:pt idx="296">
                  <c:v>1884.1856182897247</c:v>
                </c:pt>
                <c:pt idx="297">
                  <c:v>1968.5767024389925</c:v>
                </c:pt>
                <c:pt idx="298">
                  <c:v>1971.18314229057</c:v>
                </c:pt>
                <c:pt idx="299">
                  <c:v>1867.710648688749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37-465B-9B4C-13334D789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0638880"/>
        <c:axId val="420637240"/>
      </c:lineChart>
      <c:catAx>
        <c:axId val="420638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0637240"/>
        <c:crosses val="autoZero"/>
        <c:auto val="1"/>
        <c:lblAlgn val="ctr"/>
        <c:lblOffset val="100"/>
        <c:noMultiLvlLbl val="0"/>
      </c:catAx>
      <c:valAx>
        <c:axId val="420637240"/>
        <c:scaling>
          <c:orientation val="minMax"/>
          <c:max val="8250.7267734521447"/>
          <c:min val="1689.155477484355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0638880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종목코드 최신화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356507</xdr:colOff>
          <xdr:row>0</xdr:row>
          <xdr:rowOff>0</xdr:rowOff>
        </xdr:from>
        <xdr:to>
          <xdr:col>6</xdr:col>
          <xdr:colOff>356507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1. 주가 업데이트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('일별 시세'에서 결과 확인 가능)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356507</xdr:colOff>
          <xdr:row>3</xdr:row>
          <xdr:rowOff>200025</xdr:rowOff>
        </xdr:from>
        <xdr:to>
          <xdr:col>6</xdr:col>
          <xdr:colOff>356507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2. '100거래일 주가'에 정렬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356507</xdr:colOff>
          <xdr:row>8</xdr:row>
          <xdr:rowOff>0</xdr:rowOff>
        </xdr:from>
        <xdr:to>
          <xdr:col>8</xdr:col>
          <xdr:colOff>356508</xdr:colOff>
          <xdr:row>11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3. '주가 예측'에 역사적 변동성 및 기대수익률 구하기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527050</xdr:colOff>
      <xdr:row>12</xdr:row>
      <xdr:rowOff>12700</xdr:rowOff>
    </xdr:from>
    <xdr:to>
      <xdr:col>18</xdr:col>
      <xdr:colOff>501650</xdr:colOff>
      <xdr:row>36</xdr:row>
      <xdr:rowOff>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D1693E10-FCB9-42AC-9D71-770BA40F94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527050</xdr:colOff>
      <xdr:row>36</xdr:row>
      <xdr:rowOff>0</xdr:rowOff>
    </xdr:from>
    <xdr:to>
      <xdr:col>18</xdr:col>
      <xdr:colOff>501650</xdr:colOff>
      <xdr:row>59</xdr:row>
      <xdr:rowOff>196850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C70A4E4B-5936-45ED-B9B4-74E1FEDAD8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676275</xdr:colOff>
          <xdr:row>0</xdr:row>
          <xdr:rowOff>0</xdr:rowOff>
        </xdr:from>
        <xdr:to>
          <xdr:col>7</xdr:col>
          <xdr:colOff>0</xdr:colOff>
          <xdr:row>2</xdr:row>
          <xdr:rowOff>209550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4. 주가 예측, 거래량 추세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(반복 클릭하여 결과 계속 바꿔볼 수 있음)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673100</xdr:colOff>
      <xdr:row>3</xdr:row>
      <xdr:rowOff>6350</xdr:rowOff>
    </xdr:from>
    <xdr:to>
      <xdr:col>23</xdr:col>
      <xdr:colOff>241300</xdr:colOff>
      <xdr:row>33</xdr:row>
      <xdr:rowOff>69850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3863BE52-84DA-49F6-8F03-4920A7E84C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16</xdr:row>
          <xdr:rowOff>0</xdr:rowOff>
        </xdr:from>
        <xdr:to>
          <xdr:col>0</xdr:col>
          <xdr:colOff>1619250</xdr:colOff>
          <xdr:row>18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최신화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_134" headers="0" connectionId="10" xr16:uid="{B155FD6E-EDF8-460B-B6BD-4C1FEEBB8442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_134" headers="0" connectionId="9" xr16:uid="{D0098B26-9714-4474-A4AC-06C3714EDF11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_134" headers="0" connectionId="8" xr16:uid="{64181EB6-A96F-4AD3-8354-47E215C974AD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_134" headers="0" connectionId="7" xr16:uid="{EE6619A1-7A2F-40DF-9D02-8F654148A7C2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5_134" headers="0" connectionId="6" xr16:uid="{8B1A59B8-92DB-4FF5-AD99-2B2EC1669909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6_134" headers="0" connectionId="5" xr16:uid="{6E76F1E2-D8FB-45C5-8DA8-24421C87570F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7_134" headers="0" connectionId="4" xr16:uid="{65E2AEB3-7E66-4CB4-BB51-905C8F69AD2F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8_134" headers="0" connectionId="3" xr16:uid="{92523374-3796-47A8-B94B-955DAD29B9DE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9_134" headers="0" connectionId="2" xr16:uid="{1F604260-7A27-4390-8F04-9FF8BEBD43C7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0_134" headers="0" connectionId="1" xr16:uid="{E0B27ACA-DB6A-4B09-B9C5-66A78285EF11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5" Type="http://schemas.openxmlformats.org/officeDocument/2006/relationships/queryTable" Target="../queryTables/queryTable4.xml"/><Relationship Id="rId10" Type="http://schemas.openxmlformats.org/officeDocument/2006/relationships/queryTable" Target="../queryTables/queryTable9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703A7-0D94-496A-B675-71A09E8A0B4D}">
  <sheetPr codeName="Sheet4"/>
  <dimension ref="A1:U308"/>
  <sheetViews>
    <sheetView tabSelected="1" zoomScale="70" zoomScaleNormal="70" workbookViewId="0">
      <pane xSplit="1" ySplit="3" topLeftCell="B16" activePane="bottomRight" state="frozen"/>
      <selection pane="topRight" activeCell="B1" sqref="B1"/>
      <selection pane="bottomLeft" activeCell="A4" sqref="A4"/>
      <selection pane="bottomRight" activeCell="E37" sqref="E37"/>
    </sheetView>
  </sheetViews>
  <sheetFormatPr defaultRowHeight="16.5" x14ac:dyDescent="0.3"/>
  <cols>
    <col min="1" max="1" width="30.25" customWidth="1"/>
    <col min="3" max="3" width="31.75" bestFit="1" customWidth="1"/>
    <col min="4" max="4" width="9.625" bestFit="1" customWidth="1"/>
    <col min="5" max="5" width="14.375" bestFit="1" customWidth="1"/>
    <col min="6" max="6" width="8.875" bestFit="1" customWidth="1"/>
    <col min="8" max="8" width="23.5" bestFit="1" customWidth="1"/>
    <col min="9" max="9" width="9.625" bestFit="1" customWidth="1"/>
    <col min="10" max="10" width="14.375" bestFit="1" customWidth="1"/>
    <col min="11" max="11" width="8.125" bestFit="1" customWidth="1"/>
    <col min="13" max="13" width="25.5" bestFit="1" customWidth="1"/>
    <col min="14" max="14" width="9.25" bestFit="1" customWidth="1"/>
    <col min="16" max="16" width="15.125" bestFit="1" customWidth="1"/>
    <col min="17" max="17" width="9.625" bestFit="1" customWidth="1"/>
    <col min="18" max="18" width="7.75" bestFit="1" customWidth="1"/>
    <col min="19" max="19" width="7.5" bestFit="1" customWidth="1"/>
    <col min="20" max="20" width="8.125" bestFit="1" customWidth="1"/>
  </cols>
  <sheetData>
    <row r="1" spans="1:21" s="58" customFormat="1" ht="17.25" thickBot="1" x14ac:dyDescent="0.35">
      <c r="A1" s="24" t="s">
        <v>1767</v>
      </c>
    </row>
    <row r="2" spans="1:21" s="58" customFormat="1" x14ac:dyDescent="0.3"/>
    <row r="3" spans="1:21" s="58" customFormat="1" ht="17.25" thickBot="1" x14ac:dyDescent="0.35"/>
    <row r="4" spans="1:21" x14ac:dyDescent="0.3">
      <c r="A4" s="23"/>
      <c r="C4" s="96" t="s">
        <v>1158</v>
      </c>
      <c r="D4" s="97"/>
      <c r="E4" s="97"/>
      <c r="F4" s="98"/>
      <c r="H4" s="96" t="s">
        <v>1159</v>
      </c>
      <c r="I4" s="97"/>
      <c r="J4" s="97"/>
      <c r="K4" s="98"/>
      <c r="M4" s="96" t="s">
        <v>1074</v>
      </c>
      <c r="N4" s="98"/>
      <c r="P4" s="99" t="s">
        <v>1163</v>
      </c>
      <c r="Q4" s="100"/>
      <c r="R4" s="100"/>
      <c r="S4" s="100"/>
      <c r="T4" s="101"/>
      <c r="U4" s="37"/>
    </row>
    <row r="5" spans="1:21" x14ac:dyDescent="0.3">
      <c r="C5" s="27" t="s">
        <v>1160</v>
      </c>
      <c r="D5" s="102" t="s">
        <v>1161</v>
      </c>
      <c r="E5" s="102"/>
      <c r="F5" s="103"/>
      <c r="H5" s="8" t="s">
        <v>1160</v>
      </c>
      <c r="I5" s="102" t="s">
        <v>1161</v>
      </c>
      <c r="J5" s="102"/>
      <c r="K5" s="103"/>
      <c r="M5" s="8" t="s">
        <v>1075</v>
      </c>
      <c r="N5" s="9" t="s">
        <v>1047</v>
      </c>
      <c r="P5" s="8" t="s">
        <v>1164</v>
      </c>
      <c r="Q5" s="38" t="s">
        <v>10</v>
      </c>
      <c r="R5" s="3" t="s">
        <v>1046</v>
      </c>
      <c r="S5" s="3" t="s">
        <v>1162</v>
      </c>
      <c r="T5" s="9" t="s">
        <v>1048</v>
      </c>
    </row>
    <row r="6" spans="1:21" x14ac:dyDescent="0.3">
      <c r="C6" s="57">
        <v>3078.22</v>
      </c>
      <c r="D6" s="104" t="s">
        <v>1743</v>
      </c>
      <c r="E6" s="104"/>
      <c r="F6" s="105"/>
      <c r="H6" s="57">
        <v>950.72</v>
      </c>
      <c r="I6" s="104" t="s">
        <v>1744</v>
      </c>
      <c r="J6" s="104"/>
      <c r="K6" s="105"/>
      <c r="M6" s="21" t="s">
        <v>1139</v>
      </c>
      <c r="N6" s="15">
        <v>4.6199999999999998E-2</v>
      </c>
      <c r="P6" s="5" t="s">
        <v>1745</v>
      </c>
      <c r="Q6" s="17" t="s">
        <v>1746</v>
      </c>
      <c r="R6" s="28">
        <v>2385</v>
      </c>
      <c r="S6" s="35">
        <v>340</v>
      </c>
      <c r="T6" s="33">
        <v>0.1663</v>
      </c>
    </row>
    <row r="7" spans="1:21" x14ac:dyDescent="0.3">
      <c r="A7" s="23"/>
      <c r="C7" s="106" t="s">
        <v>494</v>
      </c>
      <c r="D7" s="107"/>
      <c r="E7" s="107"/>
      <c r="F7" s="108"/>
      <c r="H7" s="109" t="s">
        <v>495</v>
      </c>
      <c r="I7" s="110"/>
      <c r="J7" s="110"/>
      <c r="K7" s="111"/>
      <c r="M7" s="21" t="s">
        <v>1077</v>
      </c>
      <c r="N7" s="15">
        <v>3.4500000000000003E-2</v>
      </c>
      <c r="P7" s="5" t="s">
        <v>1747</v>
      </c>
      <c r="Q7" s="17" t="s">
        <v>1748</v>
      </c>
      <c r="R7" s="28">
        <v>57900</v>
      </c>
      <c r="S7" s="35">
        <v>7300</v>
      </c>
      <c r="T7" s="33">
        <v>0.14430000000000001</v>
      </c>
    </row>
    <row r="8" spans="1:21" x14ac:dyDescent="0.3">
      <c r="A8" s="2"/>
      <c r="C8" s="8" t="s">
        <v>9</v>
      </c>
      <c r="D8" s="3" t="s">
        <v>10</v>
      </c>
      <c r="E8" s="3" t="s">
        <v>1014</v>
      </c>
      <c r="F8" s="9" t="s">
        <v>1048</v>
      </c>
      <c r="H8" s="8" t="s">
        <v>9</v>
      </c>
      <c r="I8" s="3" t="s">
        <v>10</v>
      </c>
      <c r="J8" s="3" t="s">
        <v>1014</v>
      </c>
      <c r="K8" s="9" t="s">
        <v>1048</v>
      </c>
      <c r="M8" s="21" t="s">
        <v>1097</v>
      </c>
      <c r="N8" s="26">
        <v>3.1399999999999997E-2</v>
      </c>
      <c r="P8" s="5" t="s">
        <v>1749</v>
      </c>
      <c r="Q8" s="17" t="s">
        <v>1750</v>
      </c>
      <c r="R8" s="28">
        <v>7030</v>
      </c>
      <c r="S8" s="35">
        <v>770</v>
      </c>
      <c r="T8" s="33">
        <v>0.123</v>
      </c>
    </row>
    <row r="9" spans="1:21" x14ac:dyDescent="0.3">
      <c r="A9" s="74"/>
      <c r="C9" s="5" t="s">
        <v>926</v>
      </c>
      <c r="D9" s="1" t="s">
        <v>11</v>
      </c>
      <c r="E9" s="28">
        <v>4972829</v>
      </c>
      <c r="F9" s="15">
        <v>1.2200000000000001E-2</v>
      </c>
      <c r="H9" s="5" t="s">
        <v>978</v>
      </c>
      <c r="I9" s="1" t="s">
        <v>496</v>
      </c>
      <c r="J9" s="28">
        <v>193915</v>
      </c>
      <c r="K9" s="69">
        <v>1.43E-2</v>
      </c>
      <c r="M9" s="21" t="s">
        <v>1128</v>
      </c>
      <c r="N9" s="15">
        <v>2.8799999999999999E-2</v>
      </c>
      <c r="P9" s="5" t="s">
        <v>1751</v>
      </c>
      <c r="Q9" s="17" t="s">
        <v>1752</v>
      </c>
      <c r="R9" s="28">
        <v>12600</v>
      </c>
      <c r="S9" s="35">
        <v>1300</v>
      </c>
      <c r="T9" s="33">
        <v>0.115</v>
      </c>
    </row>
    <row r="10" spans="1:21" x14ac:dyDescent="0.3">
      <c r="A10" s="2"/>
      <c r="C10" s="5" t="s">
        <v>927</v>
      </c>
      <c r="D10" s="1" t="s">
        <v>928</v>
      </c>
      <c r="E10" s="28">
        <v>1048323</v>
      </c>
      <c r="F10" s="15">
        <v>2.86E-2</v>
      </c>
      <c r="H10" s="5" t="s">
        <v>982</v>
      </c>
      <c r="I10" s="1" t="s">
        <v>500</v>
      </c>
      <c r="J10" s="28">
        <v>54576</v>
      </c>
      <c r="K10" s="69">
        <v>1.1299999999999999E-2</v>
      </c>
      <c r="M10" s="21" t="s">
        <v>1117</v>
      </c>
      <c r="N10" s="15">
        <v>2.5000000000000001E-2</v>
      </c>
      <c r="P10" s="5" t="s">
        <v>1753</v>
      </c>
      <c r="Q10" s="17" t="s">
        <v>1754</v>
      </c>
      <c r="R10" s="28">
        <v>3210</v>
      </c>
      <c r="S10" s="35">
        <v>235</v>
      </c>
      <c r="T10" s="33">
        <v>7.9000000000000001E-2</v>
      </c>
    </row>
    <row r="11" spans="1:21" ht="17.25" thickBot="1" x14ac:dyDescent="0.35">
      <c r="A11" s="2"/>
      <c r="C11" s="5" t="s">
        <v>929</v>
      </c>
      <c r="D11" s="1" t="s">
        <v>930</v>
      </c>
      <c r="E11" s="28">
        <v>656232</v>
      </c>
      <c r="F11" s="15">
        <v>4.1700000000000001E-2</v>
      </c>
      <c r="H11" s="5" t="s">
        <v>981</v>
      </c>
      <c r="I11" s="1" t="s">
        <v>499</v>
      </c>
      <c r="J11" s="28">
        <v>43725</v>
      </c>
      <c r="K11" s="69">
        <v>1.0999999999999999E-2</v>
      </c>
      <c r="M11" s="22" t="s">
        <v>1094</v>
      </c>
      <c r="N11" s="15">
        <v>2.41E-2</v>
      </c>
      <c r="P11" s="6" t="s">
        <v>1755</v>
      </c>
      <c r="Q11" s="18" t="s">
        <v>1756</v>
      </c>
      <c r="R11" s="29">
        <v>475</v>
      </c>
      <c r="S11" s="36">
        <v>34</v>
      </c>
      <c r="T11" s="34">
        <v>7.7100000000000002E-2</v>
      </c>
    </row>
    <row r="12" spans="1:21" x14ac:dyDescent="0.3">
      <c r="C12" s="5" t="s">
        <v>931</v>
      </c>
      <c r="D12" s="1" t="s">
        <v>932</v>
      </c>
      <c r="E12" s="28">
        <v>614153</v>
      </c>
      <c r="F12" s="15">
        <v>1.52E-2</v>
      </c>
      <c r="H12" s="5" t="s">
        <v>987</v>
      </c>
      <c r="I12" s="1" t="s">
        <v>506</v>
      </c>
      <c r="J12" s="28">
        <v>39662</v>
      </c>
      <c r="K12" s="69">
        <v>3.3E-3</v>
      </c>
      <c r="M12" s="22" t="s">
        <v>1086</v>
      </c>
      <c r="N12" s="15">
        <v>2.24E-2</v>
      </c>
      <c r="P12" s="30" t="s">
        <v>1165</v>
      </c>
      <c r="Q12" s="39" t="s">
        <v>10</v>
      </c>
      <c r="R12" s="31" t="s">
        <v>1046</v>
      </c>
      <c r="S12" s="31" t="s">
        <v>1162</v>
      </c>
      <c r="T12" s="32" t="s">
        <v>1048</v>
      </c>
    </row>
    <row r="13" spans="1:21" x14ac:dyDescent="0.3">
      <c r="C13" s="5" t="s">
        <v>933</v>
      </c>
      <c r="D13" s="1" t="s">
        <v>934</v>
      </c>
      <c r="E13" s="28">
        <v>608936</v>
      </c>
      <c r="F13" s="15">
        <v>6.7999999999999996E-3</v>
      </c>
      <c r="H13" s="5" t="s">
        <v>983</v>
      </c>
      <c r="I13" s="1" t="s">
        <v>501</v>
      </c>
      <c r="J13" s="28">
        <v>38528</v>
      </c>
      <c r="K13" s="69">
        <v>1.9E-3</v>
      </c>
      <c r="M13" s="5" t="s">
        <v>1093</v>
      </c>
      <c r="N13" s="15">
        <v>1.8100000000000002E-2</v>
      </c>
      <c r="P13" s="5" t="s">
        <v>1757</v>
      </c>
      <c r="Q13" s="17" t="s">
        <v>1758</v>
      </c>
      <c r="R13" s="28">
        <v>2510</v>
      </c>
      <c r="S13" s="35">
        <v>440</v>
      </c>
      <c r="T13" s="33">
        <v>0.21260000000000001</v>
      </c>
    </row>
    <row r="14" spans="1:21" x14ac:dyDescent="0.3">
      <c r="C14" s="5" t="s">
        <v>937</v>
      </c>
      <c r="D14" s="1" t="s">
        <v>12</v>
      </c>
      <c r="E14" s="28">
        <v>503189</v>
      </c>
      <c r="F14" s="15">
        <v>1.5100000000000001E-2</v>
      </c>
      <c r="H14" s="5" t="s">
        <v>979</v>
      </c>
      <c r="I14" s="1" t="s">
        <v>497</v>
      </c>
      <c r="J14" s="28">
        <v>35232</v>
      </c>
      <c r="K14" s="69">
        <v>-3.0000000000000001E-3</v>
      </c>
      <c r="M14" s="5" t="s">
        <v>1078</v>
      </c>
      <c r="N14" s="15">
        <v>1.38E-2</v>
      </c>
      <c r="P14" s="5" t="s">
        <v>896</v>
      </c>
      <c r="Q14" s="17" t="s">
        <v>897</v>
      </c>
      <c r="R14" s="28">
        <v>6790</v>
      </c>
      <c r="S14" s="35">
        <v>1090</v>
      </c>
      <c r="T14" s="33">
        <v>0.19120000000000001</v>
      </c>
    </row>
    <row r="15" spans="1:21" x14ac:dyDescent="0.3">
      <c r="C15" s="5" t="s">
        <v>935</v>
      </c>
      <c r="D15" s="1" t="s">
        <v>936</v>
      </c>
      <c r="E15" s="28">
        <v>484328</v>
      </c>
      <c r="F15" s="15">
        <v>1.8100000000000002E-2</v>
      </c>
      <c r="H15" s="5" t="s">
        <v>990</v>
      </c>
      <c r="I15" s="1" t="s">
        <v>508</v>
      </c>
      <c r="J15" s="28">
        <v>33478</v>
      </c>
      <c r="K15" s="69">
        <v>1.2999999999999999E-3</v>
      </c>
      <c r="M15" s="5" t="s">
        <v>1110</v>
      </c>
      <c r="N15" s="15">
        <v>1.37E-2</v>
      </c>
      <c r="P15" s="5" t="s">
        <v>1759</v>
      </c>
      <c r="Q15" s="17" t="s">
        <v>1760</v>
      </c>
      <c r="R15" s="28">
        <v>7270</v>
      </c>
      <c r="S15" s="35">
        <v>1050</v>
      </c>
      <c r="T15" s="33">
        <v>0.16880000000000001</v>
      </c>
    </row>
    <row r="16" spans="1:21" x14ac:dyDescent="0.3">
      <c r="C16" s="5" t="s">
        <v>942</v>
      </c>
      <c r="D16" s="1" t="s">
        <v>943</v>
      </c>
      <c r="E16" s="28">
        <v>456596</v>
      </c>
      <c r="F16" s="15">
        <v>3.9100000000000003E-2</v>
      </c>
      <c r="H16" s="5" t="s">
        <v>989</v>
      </c>
      <c r="I16" s="1" t="s">
        <v>507</v>
      </c>
      <c r="J16" s="28">
        <v>33383</v>
      </c>
      <c r="K16" s="69">
        <v>1.15E-2</v>
      </c>
      <c r="M16" s="5" t="s">
        <v>1091</v>
      </c>
      <c r="N16" s="15">
        <v>1.2800000000000001E-2</v>
      </c>
      <c r="P16" s="5" t="s">
        <v>1761</v>
      </c>
      <c r="Q16" s="17" t="s">
        <v>1762</v>
      </c>
      <c r="R16" s="28">
        <v>2190</v>
      </c>
      <c r="S16" s="35">
        <v>315</v>
      </c>
      <c r="T16" s="33">
        <v>0.16800000000000001</v>
      </c>
    </row>
    <row r="17" spans="3:20" x14ac:dyDescent="0.3">
      <c r="C17" s="5" t="s">
        <v>940</v>
      </c>
      <c r="D17" s="1" t="s">
        <v>941</v>
      </c>
      <c r="E17" s="28">
        <v>439975</v>
      </c>
      <c r="F17" s="15">
        <v>2.2700000000000001E-2</v>
      </c>
      <c r="H17" s="5" t="s">
        <v>984</v>
      </c>
      <c r="I17" s="1" t="s">
        <v>502</v>
      </c>
      <c r="J17" s="28">
        <v>31490</v>
      </c>
      <c r="K17" s="69">
        <v>5.5999999999999999E-3</v>
      </c>
      <c r="M17" s="5" t="s">
        <v>1098</v>
      </c>
      <c r="N17" s="15">
        <v>1.0800000000000001E-2</v>
      </c>
      <c r="P17" s="5" t="s">
        <v>1763</v>
      </c>
      <c r="Q17" s="17" t="s">
        <v>1764</v>
      </c>
      <c r="R17" s="28">
        <v>7540</v>
      </c>
      <c r="S17" s="35">
        <v>1030</v>
      </c>
      <c r="T17" s="33">
        <v>0.15820000000000001</v>
      </c>
    </row>
    <row r="18" spans="3:20" ht="17.25" thickBot="1" x14ac:dyDescent="0.35">
      <c r="C18" s="5" t="s">
        <v>938</v>
      </c>
      <c r="D18" s="1" t="s">
        <v>939</v>
      </c>
      <c r="E18" s="28">
        <v>401032</v>
      </c>
      <c r="F18" s="15">
        <v>1.1900000000000001E-2</v>
      </c>
      <c r="H18" s="5" t="s">
        <v>991</v>
      </c>
      <c r="I18" s="1" t="s">
        <v>509</v>
      </c>
      <c r="J18" s="28">
        <v>29014</v>
      </c>
      <c r="K18" s="69">
        <v>1E-3</v>
      </c>
      <c r="M18" s="5" t="s">
        <v>1088</v>
      </c>
      <c r="N18" s="15">
        <v>1.06E-2</v>
      </c>
      <c r="P18" s="6" t="s">
        <v>1765</v>
      </c>
      <c r="Q18" s="18" t="s">
        <v>1766</v>
      </c>
      <c r="R18" s="29">
        <v>4275</v>
      </c>
      <c r="S18" s="36">
        <v>505</v>
      </c>
      <c r="T18" s="34">
        <v>0.13400000000000001</v>
      </c>
    </row>
    <row r="19" spans="3:20" ht="17.25" thickBot="1" x14ac:dyDescent="0.35">
      <c r="C19" s="5" t="s">
        <v>954</v>
      </c>
      <c r="D19" s="1" t="s">
        <v>955</v>
      </c>
      <c r="E19" s="28">
        <v>351855</v>
      </c>
      <c r="F19" s="15">
        <v>2.5999999999999999E-2</v>
      </c>
      <c r="H19" s="5" t="s">
        <v>988</v>
      </c>
      <c r="I19" s="1" t="s">
        <v>505</v>
      </c>
      <c r="J19" s="28">
        <v>26521</v>
      </c>
      <c r="K19" s="69">
        <v>-4.4999999999999997E-3</v>
      </c>
      <c r="M19" s="5" t="s">
        <v>1127</v>
      </c>
      <c r="N19" s="15">
        <v>1.0500000000000001E-2</v>
      </c>
    </row>
    <row r="20" spans="3:20" x14ac:dyDescent="0.3">
      <c r="C20" s="5" t="s">
        <v>946</v>
      </c>
      <c r="D20" s="1" t="s">
        <v>947</v>
      </c>
      <c r="E20" s="28">
        <v>286749</v>
      </c>
      <c r="F20" s="15">
        <v>2.1999999999999999E-2</v>
      </c>
      <c r="H20" s="5" t="s">
        <v>997</v>
      </c>
      <c r="I20" s="1" t="s">
        <v>515</v>
      </c>
      <c r="J20" s="28">
        <v>25278</v>
      </c>
      <c r="K20" s="69">
        <v>3.8999999999999998E-3</v>
      </c>
      <c r="M20" s="5" t="s">
        <v>1154</v>
      </c>
      <c r="N20" s="15">
        <v>0.01</v>
      </c>
      <c r="P20" s="96" t="s">
        <v>1167</v>
      </c>
      <c r="Q20" s="97"/>
      <c r="R20" s="97"/>
      <c r="S20" s="97"/>
      <c r="T20" s="98"/>
    </row>
    <row r="21" spans="3:20" x14ac:dyDescent="0.3">
      <c r="C21" s="5" t="s">
        <v>952</v>
      </c>
      <c r="D21" s="1" t="s">
        <v>953</v>
      </c>
      <c r="E21" s="28">
        <v>260253</v>
      </c>
      <c r="F21" s="15">
        <v>1.1900000000000001E-2</v>
      </c>
      <c r="H21" s="5" t="s">
        <v>985</v>
      </c>
      <c r="I21" s="1" t="s">
        <v>503</v>
      </c>
      <c r="J21" s="28">
        <v>24529</v>
      </c>
      <c r="K21" s="69">
        <v>2.06E-2</v>
      </c>
      <c r="M21" s="5" t="s">
        <v>1109</v>
      </c>
      <c r="N21" s="15">
        <v>0.01</v>
      </c>
      <c r="P21" s="8" t="s">
        <v>9</v>
      </c>
      <c r="Q21" s="3" t="s">
        <v>10</v>
      </c>
      <c r="R21" s="3" t="s">
        <v>1046</v>
      </c>
      <c r="S21" s="3" t="s">
        <v>1162</v>
      </c>
      <c r="T21" s="9" t="s">
        <v>1048</v>
      </c>
    </row>
    <row r="22" spans="3:20" x14ac:dyDescent="0.3">
      <c r="C22" s="5" t="s">
        <v>962</v>
      </c>
      <c r="D22" s="1" t="s">
        <v>963</v>
      </c>
      <c r="E22" s="28">
        <v>258564</v>
      </c>
      <c r="F22" s="15">
        <v>0</v>
      </c>
      <c r="H22" s="5" t="s">
        <v>980</v>
      </c>
      <c r="I22" s="1" t="s">
        <v>498</v>
      </c>
      <c r="J22" s="28">
        <v>23843</v>
      </c>
      <c r="K22" s="69">
        <v>6.2700000000000006E-2</v>
      </c>
      <c r="M22" s="5" t="s">
        <v>1114</v>
      </c>
      <c r="N22" s="15">
        <v>9.7000000000000003E-3</v>
      </c>
      <c r="P22" s="5" t="s">
        <v>1757</v>
      </c>
      <c r="Q22" s="1" t="s">
        <v>1758</v>
      </c>
      <c r="R22" s="28">
        <v>2510</v>
      </c>
      <c r="S22" s="35">
        <v>440</v>
      </c>
      <c r="T22" s="33">
        <v>0.21260000000000001</v>
      </c>
    </row>
    <row r="23" spans="3:20" x14ac:dyDescent="0.3">
      <c r="C23" s="5" t="s">
        <v>944</v>
      </c>
      <c r="D23" s="1" t="s">
        <v>945</v>
      </c>
      <c r="E23" s="28">
        <v>245206</v>
      </c>
      <c r="F23" s="15">
        <v>6.4000000000000003E-3</v>
      </c>
      <c r="H23" s="5" t="s">
        <v>994</v>
      </c>
      <c r="I23" s="1" t="s">
        <v>513</v>
      </c>
      <c r="J23" s="28">
        <v>23580</v>
      </c>
      <c r="K23" s="69">
        <v>5.9999999999999995E-4</v>
      </c>
      <c r="M23" s="5" t="s">
        <v>1130</v>
      </c>
      <c r="N23" s="15">
        <v>9.5999999999999992E-3</v>
      </c>
      <c r="P23" s="5" t="s">
        <v>896</v>
      </c>
      <c r="Q23" s="1" t="s">
        <v>897</v>
      </c>
      <c r="R23" s="28">
        <v>6790</v>
      </c>
      <c r="S23" s="35">
        <v>1090</v>
      </c>
      <c r="T23" s="33">
        <v>0.19120000000000001</v>
      </c>
    </row>
    <row r="24" spans="3:20" x14ac:dyDescent="0.3">
      <c r="C24" s="5" t="s">
        <v>948</v>
      </c>
      <c r="D24" s="1" t="s">
        <v>949</v>
      </c>
      <c r="E24" s="28">
        <v>229871</v>
      </c>
      <c r="F24" s="15">
        <v>8.2000000000000007E-3</v>
      </c>
      <c r="H24" s="5" t="s">
        <v>993</v>
      </c>
      <c r="I24" s="1" t="s">
        <v>511</v>
      </c>
      <c r="J24" s="28">
        <v>23499</v>
      </c>
      <c r="K24" s="69">
        <v>-4.5999999999999999E-3</v>
      </c>
      <c r="M24" s="5" t="s">
        <v>1140</v>
      </c>
      <c r="N24" s="15">
        <v>9.2999999999999992E-3</v>
      </c>
      <c r="P24" s="5" t="s">
        <v>1745</v>
      </c>
      <c r="Q24" s="1" t="s">
        <v>1746</v>
      </c>
      <c r="R24" s="28">
        <v>2435</v>
      </c>
      <c r="S24" s="35">
        <v>390</v>
      </c>
      <c r="T24" s="33">
        <v>0.19070000000000001</v>
      </c>
    </row>
    <row r="25" spans="3:20" x14ac:dyDescent="0.3">
      <c r="C25" s="5" t="s">
        <v>950</v>
      </c>
      <c r="D25" s="1" t="s">
        <v>951</v>
      </c>
      <c r="E25" s="28">
        <v>209535</v>
      </c>
      <c r="F25" s="15">
        <v>7.7999999999999996E-3</v>
      </c>
      <c r="H25" s="5" t="s">
        <v>996</v>
      </c>
      <c r="I25" s="1" t="s">
        <v>514</v>
      </c>
      <c r="J25" s="28">
        <v>22984</v>
      </c>
      <c r="K25" s="69">
        <v>5.0000000000000001E-3</v>
      </c>
      <c r="M25" s="5" t="s">
        <v>1089</v>
      </c>
      <c r="N25" s="15">
        <v>9.1999999999999998E-3</v>
      </c>
      <c r="P25" s="5" t="s">
        <v>1761</v>
      </c>
      <c r="Q25" s="1" t="s">
        <v>1762</v>
      </c>
      <c r="R25" s="28">
        <v>2190</v>
      </c>
      <c r="S25" s="35">
        <v>315</v>
      </c>
      <c r="T25" s="33">
        <v>0.16800000000000001</v>
      </c>
    </row>
    <row r="26" spans="3:20" x14ac:dyDescent="0.3">
      <c r="C26" s="5" t="s">
        <v>958</v>
      </c>
      <c r="D26" s="1" t="s">
        <v>959</v>
      </c>
      <c r="E26" s="28">
        <v>208563</v>
      </c>
      <c r="F26" s="15">
        <v>1.06E-2</v>
      </c>
      <c r="H26" s="5" t="s">
        <v>986</v>
      </c>
      <c r="I26" s="1" t="s">
        <v>504</v>
      </c>
      <c r="J26" s="28">
        <v>21026</v>
      </c>
      <c r="K26" s="69">
        <v>-2.6599999999999999E-2</v>
      </c>
      <c r="M26" s="5" t="s">
        <v>1106</v>
      </c>
      <c r="N26" s="15">
        <v>9.1000000000000004E-3</v>
      </c>
      <c r="P26" s="5" t="s">
        <v>1759</v>
      </c>
      <c r="Q26" s="1" t="s">
        <v>1760</v>
      </c>
      <c r="R26" s="28">
        <v>7260</v>
      </c>
      <c r="S26" s="35">
        <v>1040</v>
      </c>
      <c r="T26" s="33">
        <v>0.16719999999999999</v>
      </c>
    </row>
    <row r="27" spans="3:20" x14ac:dyDescent="0.3">
      <c r="C27" s="5" t="s">
        <v>956</v>
      </c>
      <c r="D27" s="1" t="s">
        <v>957</v>
      </c>
      <c r="E27" s="28">
        <v>205409</v>
      </c>
      <c r="F27" s="15">
        <v>-2.5600000000000001E-2</v>
      </c>
      <c r="H27" s="5" t="s">
        <v>549</v>
      </c>
      <c r="I27" s="1" t="s">
        <v>550</v>
      </c>
      <c r="J27" s="28">
        <v>20898</v>
      </c>
      <c r="K27" s="69">
        <v>-2.8E-3</v>
      </c>
      <c r="M27" s="5" t="s">
        <v>1079</v>
      </c>
      <c r="N27" s="15">
        <v>8.6999999999999994E-3</v>
      </c>
      <c r="P27" s="5" t="s">
        <v>1747</v>
      </c>
      <c r="Q27" s="1" t="s">
        <v>1748</v>
      </c>
      <c r="R27" s="28">
        <v>57900</v>
      </c>
      <c r="S27" s="35">
        <v>7300</v>
      </c>
      <c r="T27" s="33">
        <v>0.14430000000000001</v>
      </c>
    </row>
    <row r="28" spans="3:20" x14ac:dyDescent="0.3">
      <c r="C28" s="5" t="s">
        <v>972</v>
      </c>
      <c r="D28" s="1" t="s">
        <v>973</v>
      </c>
      <c r="E28" s="28">
        <v>201575</v>
      </c>
      <c r="F28" s="15">
        <v>9.2999999999999992E-3</v>
      </c>
      <c r="H28" s="5" t="s">
        <v>547</v>
      </c>
      <c r="I28" s="1" t="s">
        <v>548</v>
      </c>
      <c r="J28" s="28">
        <v>19417</v>
      </c>
      <c r="K28" s="69">
        <v>7.3000000000000001E-3</v>
      </c>
      <c r="M28" s="5" t="s">
        <v>1076</v>
      </c>
      <c r="N28" s="15">
        <v>8.6E-3</v>
      </c>
      <c r="P28" s="5" t="s">
        <v>1765</v>
      </c>
      <c r="Q28" s="1" t="s">
        <v>1766</v>
      </c>
      <c r="R28" s="28">
        <v>4275</v>
      </c>
      <c r="S28" s="35">
        <v>505</v>
      </c>
      <c r="T28" s="33">
        <v>0.13400000000000001</v>
      </c>
    </row>
    <row r="29" spans="3:20" x14ac:dyDescent="0.3">
      <c r="C29" s="5" t="s">
        <v>960</v>
      </c>
      <c r="D29" s="1" t="s">
        <v>961</v>
      </c>
      <c r="E29" s="28">
        <v>179777</v>
      </c>
      <c r="F29" s="15">
        <v>-1.9699999999999999E-2</v>
      </c>
      <c r="H29" s="5" t="s">
        <v>1000</v>
      </c>
      <c r="I29" s="1" t="s">
        <v>518</v>
      </c>
      <c r="J29" s="28">
        <v>19351</v>
      </c>
      <c r="K29" s="69">
        <v>7.4000000000000003E-3</v>
      </c>
      <c r="M29" s="5" t="s">
        <v>1115</v>
      </c>
      <c r="N29" s="15">
        <v>8.3000000000000001E-3</v>
      </c>
      <c r="P29" s="5" t="s">
        <v>1749</v>
      </c>
      <c r="Q29" s="1" t="s">
        <v>1750</v>
      </c>
      <c r="R29" s="28">
        <v>7050</v>
      </c>
      <c r="S29" s="35">
        <v>790</v>
      </c>
      <c r="T29" s="33">
        <v>0.12620000000000001</v>
      </c>
    </row>
    <row r="30" spans="3:20" x14ac:dyDescent="0.3">
      <c r="C30" s="5" t="s">
        <v>964</v>
      </c>
      <c r="D30" s="1" t="s">
        <v>965</v>
      </c>
      <c r="E30" s="28">
        <v>175197</v>
      </c>
      <c r="F30" s="15">
        <v>1.6299999999999999E-2</v>
      </c>
      <c r="H30" s="5" t="s">
        <v>815</v>
      </c>
      <c r="I30" s="1" t="s">
        <v>816</v>
      </c>
      <c r="J30" s="28">
        <v>19107</v>
      </c>
      <c r="K30" s="69">
        <v>-3.7000000000000002E-3</v>
      </c>
      <c r="M30" s="5" t="s">
        <v>1134</v>
      </c>
      <c r="N30" s="15">
        <v>8.3000000000000001E-3</v>
      </c>
      <c r="P30" s="5" t="s">
        <v>1751</v>
      </c>
      <c r="Q30" s="1" t="s">
        <v>1752</v>
      </c>
      <c r="R30" s="28">
        <v>12600</v>
      </c>
      <c r="S30" s="35">
        <v>1300</v>
      </c>
      <c r="T30" s="33">
        <v>0.115</v>
      </c>
    </row>
    <row r="31" spans="3:20" ht="17.25" thickBot="1" x14ac:dyDescent="0.35">
      <c r="C31" s="5" t="s">
        <v>970</v>
      </c>
      <c r="D31" s="1" t="s">
        <v>971</v>
      </c>
      <c r="E31" s="28">
        <v>157400</v>
      </c>
      <c r="F31" s="15">
        <v>-1.01E-2</v>
      </c>
      <c r="H31" s="5" t="s">
        <v>992</v>
      </c>
      <c r="I31" s="1" t="s">
        <v>510</v>
      </c>
      <c r="J31" s="28">
        <v>18071</v>
      </c>
      <c r="K31" s="69">
        <v>4.1099999999999998E-2</v>
      </c>
      <c r="M31" s="5" t="s">
        <v>1080</v>
      </c>
      <c r="N31" s="15">
        <v>7.7000000000000002E-3</v>
      </c>
      <c r="P31" s="6" t="s">
        <v>1705</v>
      </c>
      <c r="Q31" s="7" t="s">
        <v>1706</v>
      </c>
      <c r="R31" s="29">
        <v>39450</v>
      </c>
      <c r="S31" s="36">
        <v>4050</v>
      </c>
      <c r="T31" s="34">
        <v>0.1144</v>
      </c>
    </row>
    <row r="32" spans="3:20" x14ac:dyDescent="0.3">
      <c r="C32" s="5" t="s">
        <v>966</v>
      </c>
      <c r="D32" s="1" t="s">
        <v>967</v>
      </c>
      <c r="E32" s="28">
        <v>156318</v>
      </c>
      <c r="F32" s="15">
        <v>-1.0200000000000001E-2</v>
      </c>
      <c r="H32" s="5" t="s">
        <v>1003</v>
      </c>
      <c r="I32" s="1" t="s">
        <v>521</v>
      </c>
      <c r="J32" s="28">
        <v>16941</v>
      </c>
      <c r="K32" s="69">
        <v>-1.0500000000000001E-2</v>
      </c>
      <c r="M32" s="5" t="s">
        <v>1136</v>
      </c>
      <c r="N32" s="15">
        <v>7.6E-3</v>
      </c>
    </row>
    <row r="33" spans="1:14" x14ac:dyDescent="0.3">
      <c r="C33" s="5" t="s">
        <v>976</v>
      </c>
      <c r="D33" s="1" t="s">
        <v>977</v>
      </c>
      <c r="E33" s="28">
        <v>155129</v>
      </c>
      <c r="F33" s="15">
        <v>8.9999999999999993E-3</v>
      </c>
      <c r="H33" s="5" t="s">
        <v>1010</v>
      </c>
      <c r="I33" s="1" t="s">
        <v>1011</v>
      </c>
      <c r="J33" s="28">
        <v>16656</v>
      </c>
      <c r="K33" s="69">
        <v>-4.4999999999999997E-3</v>
      </c>
      <c r="M33" s="5" t="s">
        <v>1121</v>
      </c>
      <c r="N33" s="15">
        <v>7.6E-3</v>
      </c>
    </row>
    <row r="34" spans="1:14" x14ac:dyDescent="0.3">
      <c r="C34" s="5" t="s">
        <v>17</v>
      </c>
      <c r="D34" s="1" t="s">
        <v>18</v>
      </c>
      <c r="E34" s="28">
        <v>147520</v>
      </c>
      <c r="F34" s="15">
        <v>1.7999999999999999E-2</v>
      </c>
      <c r="H34" s="5" t="s">
        <v>529</v>
      </c>
      <c r="I34" s="1" t="s">
        <v>530</v>
      </c>
      <c r="J34" s="28">
        <v>16506</v>
      </c>
      <c r="K34" s="69">
        <v>-5.4999999999999997E-3</v>
      </c>
      <c r="M34" s="5" t="s">
        <v>1131</v>
      </c>
      <c r="N34" s="15">
        <v>7.4999999999999997E-3</v>
      </c>
    </row>
    <row r="35" spans="1:14" x14ac:dyDescent="0.3">
      <c r="C35" s="5" t="s">
        <v>968</v>
      </c>
      <c r="D35" s="1" t="s">
        <v>969</v>
      </c>
      <c r="E35" s="28">
        <v>147405</v>
      </c>
      <c r="F35" s="15">
        <v>7.9000000000000008E-3</v>
      </c>
      <c r="H35" s="5" t="s">
        <v>543</v>
      </c>
      <c r="I35" s="1" t="s">
        <v>544</v>
      </c>
      <c r="J35" s="28">
        <v>16285</v>
      </c>
      <c r="K35" s="69">
        <v>9.4000000000000004E-3</v>
      </c>
      <c r="M35" s="5" t="s">
        <v>1099</v>
      </c>
      <c r="N35" s="15">
        <v>7.1999999999999998E-3</v>
      </c>
    </row>
    <row r="36" spans="1:14" x14ac:dyDescent="0.3">
      <c r="C36" s="5" t="s">
        <v>21</v>
      </c>
      <c r="D36" s="1" t="s">
        <v>22</v>
      </c>
      <c r="E36" s="28">
        <v>138254</v>
      </c>
      <c r="F36" s="15">
        <v>-6.3E-3</v>
      </c>
      <c r="H36" s="5" t="s">
        <v>537</v>
      </c>
      <c r="I36" s="1" t="s">
        <v>538</v>
      </c>
      <c r="J36" s="28">
        <v>16193</v>
      </c>
      <c r="K36" s="69">
        <v>1.1999999999999999E-3</v>
      </c>
      <c r="M36" s="5" t="s">
        <v>1125</v>
      </c>
      <c r="N36" s="15">
        <v>6.4000000000000003E-3</v>
      </c>
    </row>
    <row r="37" spans="1:14" x14ac:dyDescent="0.3">
      <c r="C37" s="5" t="s">
        <v>1629</v>
      </c>
      <c r="D37" s="1" t="s">
        <v>1630</v>
      </c>
      <c r="E37" s="28">
        <v>129285</v>
      </c>
      <c r="F37" s="15">
        <v>0.3</v>
      </c>
      <c r="H37" s="5" t="s">
        <v>1001</v>
      </c>
      <c r="I37" s="1" t="s">
        <v>519</v>
      </c>
      <c r="J37" s="28">
        <v>15950</v>
      </c>
      <c r="K37" s="69">
        <v>6.3E-3</v>
      </c>
      <c r="M37" s="5" t="s">
        <v>1119</v>
      </c>
      <c r="N37" s="15">
        <v>6.3E-3</v>
      </c>
    </row>
    <row r="38" spans="1:14" x14ac:dyDescent="0.3">
      <c r="C38" s="5" t="s">
        <v>19</v>
      </c>
      <c r="D38" s="1" t="s">
        <v>20</v>
      </c>
      <c r="E38" s="28">
        <v>122799</v>
      </c>
      <c r="F38" s="15">
        <v>-1.21E-2</v>
      </c>
      <c r="H38" s="5" t="s">
        <v>995</v>
      </c>
      <c r="I38" s="1" t="s">
        <v>512</v>
      </c>
      <c r="J38" s="28">
        <v>15835</v>
      </c>
      <c r="K38" s="69">
        <v>-5.5999999999999999E-3</v>
      </c>
      <c r="M38" s="5" t="s">
        <v>1113</v>
      </c>
      <c r="N38" s="15">
        <v>6.0000000000000001E-3</v>
      </c>
    </row>
    <row r="39" spans="1:14" x14ac:dyDescent="0.3">
      <c r="C39" s="5" t="s">
        <v>67</v>
      </c>
      <c r="D39" s="1" t="s">
        <v>68</v>
      </c>
      <c r="E39" s="28">
        <v>115420</v>
      </c>
      <c r="F39" s="15">
        <v>1.3599999999999999E-2</v>
      </c>
      <c r="H39" s="5" t="s">
        <v>999</v>
      </c>
      <c r="I39" s="1" t="s">
        <v>517</v>
      </c>
      <c r="J39" s="28">
        <v>15304</v>
      </c>
      <c r="K39" s="69">
        <v>1.06E-2</v>
      </c>
      <c r="M39" s="5" t="s">
        <v>1122</v>
      </c>
      <c r="N39" s="15">
        <v>6.0000000000000001E-3</v>
      </c>
    </row>
    <row r="40" spans="1:14" x14ac:dyDescent="0.3">
      <c r="C40" s="5" t="s">
        <v>13</v>
      </c>
      <c r="D40" s="1" t="s">
        <v>14</v>
      </c>
      <c r="E40" s="28">
        <v>115188</v>
      </c>
      <c r="F40" s="15">
        <v>4.7399999999999998E-2</v>
      </c>
      <c r="H40" s="5" t="s">
        <v>1002</v>
      </c>
      <c r="I40" s="1" t="s">
        <v>520</v>
      </c>
      <c r="J40" s="28">
        <v>15010</v>
      </c>
      <c r="K40" s="69">
        <v>4.7999999999999996E-3</v>
      </c>
      <c r="M40" s="5" t="s">
        <v>1147</v>
      </c>
      <c r="N40" s="15">
        <v>5.8999999999999999E-3</v>
      </c>
    </row>
    <row r="41" spans="1:14" x14ac:dyDescent="0.3">
      <c r="C41" s="5" t="s">
        <v>15</v>
      </c>
      <c r="D41" s="1" t="s">
        <v>16</v>
      </c>
      <c r="E41" s="28">
        <v>107358</v>
      </c>
      <c r="F41" s="15">
        <v>1.21E-2</v>
      </c>
      <c r="H41" s="5" t="s">
        <v>1665</v>
      </c>
      <c r="I41" s="1" t="s">
        <v>1666</v>
      </c>
      <c r="J41" s="28">
        <v>14808</v>
      </c>
      <c r="K41" s="69">
        <v>7.1199999999999999E-2</v>
      </c>
      <c r="M41" s="5" t="s">
        <v>1087</v>
      </c>
      <c r="N41" s="15">
        <v>5.1999999999999998E-3</v>
      </c>
    </row>
    <row r="42" spans="1:14" x14ac:dyDescent="0.3">
      <c r="C42" s="5" t="s">
        <v>25</v>
      </c>
      <c r="D42" s="1" t="s">
        <v>26</v>
      </c>
      <c r="E42" s="28">
        <v>104026</v>
      </c>
      <c r="F42" s="15">
        <v>5.0000000000000001E-3</v>
      </c>
      <c r="H42" s="5" t="s">
        <v>551</v>
      </c>
      <c r="I42" s="1" t="s">
        <v>552</v>
      </c>
      <c r="J42" s="28">
        <v>14291</v>
      </c>
      <c r="K42" s="69">
        <v>0</v>
      </c>
      <c r="M42" s="5" t="s">
        <v>1133</v>
      </c>
      <c r="N42" s="15">
        <v>5.1000000000000004E-3</v>
      </c>
    </row>
    <row r="43" spans="1:14" x14ac:dyDescent="0.3">
      <c r="A43" t="s">
        <v>1546</v>
      </c>
      <c r="C43" s="5" t="s">
        <v>41</v>
      </c>
      <c r="D43" s="1" t="s">
        <v>42</v>
      </c>
      <c r="E43" s="28">
        <v>95817</v>
      </c>
      <c r="F43" s="15">
        <v>2.87E-2</v>
      </c>
      <c r="H43" s="5" t="s">
        <v>533</v>
      </c>
      <c r="I43" s="1" t="s">
        <v>534</v>
      </c>
      <c r="J43" s="28">
        <v>13964</v>
      </c>
      <c r="K43" s="69">
        <v>6.6E-3</v>
      </c>
      <c r="M43" s="5" t="s">
        <v>1149</v>
      </c>
      <c r="N43" s="15">
        <v>4.5999999999999999E-3</v>
      </c>
    </row>
    <row r="44" spans="1:14" x14ac:dyDescent="0.3">
      <c r="C44" s="5" t="s">
        <v>37</v>
      </c>
      <c r="D44" s="1" t="s">
        <v>38</v>
      </c>
      <c r="E44" s="28">
        <v>92093</v>
      </c>
      <c r="F44" s="15">
        <v>0</v>
      </c>
      <c r="H44" s="5" t="s">
        <v>581</v>
      </c>
      <c r="I44" s="1" t="s">
        <v>582</v>
      </c>
      <c r="J44" s="28">
        <v>13617</v>
      </c>
      <c r="K44" s="69">
        <v>1.1999999999999999E-3</v>
      </c>
      <c r="M44" s="5" t="s">
        <v>1111</v>
      </c>
      <c r="N44" s="15">
        <v>4.5999999999999999E-3</v>
      </c>
    </row>
    <row r="45" spans="1:14" x14ac:dyDescent="0.3">
      <c r="C45" s="5" t="s">
        <v>23</v>
      </c>
      <c r="D45" s="1" t="s">
        <v>24</v>
      </c>
      <c r="E45" s="28">
        <v>88117</v>
      </c>
      <c r="F45" s="15">
        <v>-1.06E-2</v>
      </c>
      <c r="H45" s="5" t="s">
        <v>523</v>
      </c>
      <c r="I45" s="1" t="s">
        <v>524</v>
      </c>
      <c r="J45" s="28">
        <v>13593</v>
      </c>
      <c r="K45" s="69">
        <v>2.58E-2</v>
      </c>
      <c r="M45" s="5" t="s">
        <v>1090</v>
      </c>
      <c r="N45" s="15">
        <v>4.4999999999999997E-3</v>
      </c>
    </row>
    <row r="46" spans="1:14" x14ac:dyDescent="0.3">
      <c r="C46" s="5" t="s">
        <v>974</v>
      </c>
      <c r="D46" s="1" t="s">
        <v>975</v>
      </c>
      <c r="E46" s="28">
        <v>86536</v>
      </c>
      <c r="F46" s="15">
        <v>-8.9999999999999993E-3</v>
      </c>
      <c r="H46" s="5" t="s">
        <v>575</v>
      </c>
      <c r="I46" s="1" t="s">
        <v>576</v>
      </c>
      <c r="J46" s="28">
        <v>13420</v>
      </c>
      <c r="K46" s="69">
        <v>3.04E-2</v>
      </c>
      <c r="M46" s="5" t="s">
        <v>1084</v>
      </c>
      <c r="N46" s="15">
        <v>3.8999999999999998E-3</v>
      </c>
    </row>
    <row r="47" spans="1:14" x14ac:dyDescent="0.3">
      <c r="C47" s="5" t="s">
        <v>31</v>
      </c>
      <c r="D47" s="1" t="s">
        <v>32</v>
      </c>
      <c r="E47" s="28">
        <v>86458</v>
      </c>
      <c r="F47" s="15">
        <v>2.2000000000000001E-3</v>
      </c>
      <c r="H47" s="5" t="s">
        <v>565</v>
      </c>
      <c r="I47" s="1" t="s">
        <v>566</v>
      </c>
      <c r="J47" s="28">
        <v>13144</v>
      </c>
      <c r="K47" s="69">
        <v>2.06E-2</v>
      </c>
      <c r="M47" s="5" t="s">
        <v>1116</v>
      </c>
      <c r="N47" s="15">
        <v>3.8999999999999998E-3</v>
      </c>
    </row>
    <row r="48" spans="1:14" x14ac:dyDescent="0.3">
      <c r="C48" s="5" t="s">
        <v>47</v>
      </c>
      <c r="D48" s="1" t="s">
        <v>48</v>
      </c>
      <c r="E48" s="28">
        <v>84574</v>
      </c>
      <c r="F48" s="15">
        <v>8.3999999999999995E-3</v>
      </c>
      <c r="H48" s="5" t="s">
        <v>1004</v>
      </c>
      <c r="I48" s="1" t="s">
        <v>522</v>
      </c>
      <c r="J48" s="28">
        <v>12998</v>
      </c>
      <c r="K48" s="69">
        <v>9.4000000000000004E-3</v>
      </c>
      <c r="M48" s="5" t="s">
        <v>1112</v>
      </c>
      <c r="N48" s="15">
        <v>3.8E-3</v>
      </c>
    </row>
    <row r="49" spans="3:14" x14ac:dyDescent="0.3">
      <c r="C49" s="5" t="s">
        <v>43</v>
      </c>
      <c r="D49" s="1" t="s">
        <v>44</v>
      </c>
      <c r="E49" s="28">
        <v>82647</v>
      </c>
      <c r="F49" s="15">
        <v>4.3E-3</v>
      </c>
      <c r="H49" s="5" t="s">
        <v>545</v>
      </c>
      <c r="I49" s="1" t="s">
        <v>546</v>
      </c>
      <c r="J49" s="28">
        <v>12893</v>
      </c>
      <c r="K49" s="69">
        <v>-2.3599999999999999E-2</v>
      </c>
      <c r="M49" s="5" t="s">
        <v>1100</v>
      </c>
      <c r="N49" s="15">
        <v>3.5999999999999999E-3</v>
      </c>
    </row>
    <row r="50" spans="3:14" x14ac:dyDescent="0.3">
      <c r="C50" s="5" t="s">
        <v>53</v>
      </c>
      <c r="D50" s="1" t="s">
        <v>54</v>
      </c>
      <c r="E50" s="28">
        <v>79972</v>
      </c>
      <c r="F50" s="15">
        <v>8.9999999999999993E-3</v>
      </c>
      <c r="H50" s="5" t="s">
        <v>539</v>
      </c>
      <c r="I50" s="1" t="s">
        <v>540</v>
      </c>
      <c r="J50" s="28">
        <v>12765</v>
      </c>
      <c r="K50" s="69">
        <v>-1.09E-2</v>
      </c>
      <c r="M50" s="5" t="s">
        <v>1104</v>
      </c>
      <c r="N50" s="15">
        <v>3.3E-3</v>
      </c>
    </row>
    <row r="51" spans="3:14" x14ac:dyDescent="0.3">
      <c r="C51" s="5" t="s">
        <v>142</v>
      </c>
      <c r="D51" s="1" t="s">
        <v>143</v>
      </c>
      <c r="E51" s="28">
        <v>77398</v>
      </c>
      <c r="F51" s="15">
        <v>4.4600000000000001E-2</v>
      </c>
      <c r="H51" s="5" t="s">
        <v>541</v>
      </c>
      <c r="I51" s="1" t="s">
        <v>542</v>
      </c>
      <c r="J51" s="28">
        <v>12584</v>
      </c>
      <c r="K51" s="69">
        <v>8.5000000000000006E-3</v>
      </c>
      <c r="M51" s="5" t="s">
        <v>1124</v>
      </c>
      <c r="N51" s="15">
        <v>3.3E-3</v>
      </c>
    </row>
    <row r="52" spans="3:14" x14ac:dyDescent="0.3">
      <c r="C52" s="5" t="s">
        <v>29</v>
      </c>
      <c r="D52" s="1" t="s">
        <v>30</v>
      </c>
      <c r="E52" s="28">
        <v>77273</v>
      </c>
      <c r="F52" s="15">
        <v>-6.1000000000000004E-3</v>
      </c>
      <c r="H52" s="5" t="s">
        <v>661</v>
      </c>
      <c r="I52" s="1" t="s">
        <v>662</v>
      </c>
      <c r="J52" s="28">
        <v>12171</v>
      </c>
      <c r="K52" s="69">
        <v>8.3000000000000001E-3</v>
      </c>
      <c r="M52" s="5" t="s">
        <v>1146</v>
      </c>
      <c r="N52" s="15">
        <v>3.2000000000000002E-3</v>
      </c>
    </row>
    <row r="53" spans="3:14" x14ac:dyDescent="0.3">
      <c r="C53" s="5" t="s">
        <v>33</v>
      </c>
      <c r="D53" s="1" t="s">
        <v>34</v>
      </c>
      <c r="E53" s="28">
        <v>73312</v>
      </c>
      <c r="F53" s="15">
        <v>1.8200000000000001E-2</v>
      </c>
      <c r="H53" s="5" t="s">
        <v>675</v>
      </c>
      <c r="I53" s="1" t="s">
        <v>676</v>
      </c>
      <c r="J53" s="28">
        <v>12068</v>
      </c>
      <c r="K53" s="69">
        <v>-1.2200000000000001E-2</v>
      </c>
      <c r="M53" s="5" t="s">
        <v>1137</v>
      </c>
      <c r="N53" s="15">
        <v>2.8999999999999998E-3</v>
      </c>
    </row>
    <row r="54" spans="3:14" x14ac:dyDescent="0.3">
      <c r="C54" s="5" t="s">
        <v>35</v>
      </c>
      <c r="D54" s="1" t="s">
        <v>36</v>
      </c>
      <c r="E54" s="28">
        <v>71793</v>
      </c>
      <c r="F54" s="15">
        <v>-6.0000000000000001E-3</v>
      </c>
      <c r="H54" s="5" t="s">
        <v>553</v>
      </c>
      <c r="I54" s="1" t="s">
        <v>554</v>
      </c>
      <c r="J54" s="28">
        <v>11973</v>
      </c>
      <c r="K54" s="69">
        <v>2.5000000000000001E-3</v>
      </c>
      <c r="M54" s="5" t="s">
        <v>1105</v>
      </c>
      <c r="N54" s="15">
        <v>2.8E-3</v>
      </c>
    </row>
    <row r="55" spans="3:14" x14ac:dyDescent="0.3">
      <c r="C55" s="5" t="s">
        <v>45</v>
      </c>
      <c r="D55" s="1" t="s">
        <v>46</v>
      </c>
      <c r="E55" s="28">
        <v>70370</v>
      </c>
      <c r="F55" s="15">
        <v>1.9E-3</v>
      </c>
      <c r="H55" s="5" t="s">
        <v>597</v>
      </c>
      <c r="I55" s="1" t="s">
        <v>598</v>
      </c>
      <c r="J55" s="28">
        <v>11938</v>
      </c>
      <c r="K55" s="69">
        <v>-9.4000000000000004E-3</v>
      </c>
      <c r="M55" s="5" t="s">
        <v>1144</v>
      </c>
      <c r="N55" s="15">
        <v>2.5000000000000001E-3</v>
      </c>
    </row>
    <row r="56" spans="3:14" x14ac:dyDescent="0.3">
      <c r="C56" s="5" t="s">
        <v>71</v>
      </c>
      <c r="D56" s="1" t="s">
        <v>72</v>
      </c>
      <c r="E56" s="28">
        <v>66877</v>
      </c>
      <c r="F56" s="15">
        <v>-2.3E-3</v>
      </c>
      <c r="H56" s="5" t="s">
        <v>685</v>
      </c>
      <c r="I56" s="1" t="s">
        <v>686</v>
      </c>
      <c r="J56" s="28">
        <v>11578</v>
      </c>
      <c r="K56" s="69">
        <v>7.3000000000000001E-3</v>
      </c>
      <c r="M56" s="5" t="s">
        <v>1107</v>
      </c>
      <c r="N56" s="15">
        <v>2.2000000000000001E-3</v>
      </c>
    </row>
    <row r="57" spans="3:14" x14ac:dyDescent="0.3">
      <c r="C57" s="5" t="s">
        <v>39</v>
      </c>
      <c r="D57" s="1" t="s">
        <v>40</v>
      </c>
      <c r="E57" s="28">
        <v>66701</v>
      </c>
      <c r="F57" s="15">
        <v>-8.8000000000000005E-3</v>
      </c>
      <c r="H57" s="5" t="s">
        <v>998</v>
      </c>
      <c r="I57" s="1" t="s">
        <v>516</v>
      </c>
      <c r="J57" s="28">
        <v>11359</v>
      </c>
      <c r="K57" s="69">
        <v>3.2399999999999998E-2</v>
      </c>
      <c r="M57" s="5" t="s">
        <v>1132</v>
      </c>
      <c r="N57" s="15">
        <v>2E-3</v>
      </c>
    </row>
    <row r="58" spans="3:14" x14ac:dyDescent="0.3">
      <c r="C58" s="5" t="s">
        <v>49</v>
      </c>
      <c r="D58" s="1" t="s">
        <v>50</v>
      </c>
      <c r="E58" s="28">
        <v>63754</v>
      </c>
      <c r="F58" s="15">
        <v>4.7000000000000002E-3</v>
      </c>
      <c r="H58" s="5" t="s">
        <v>555</v>
      </c>
      <c r="I58" s="1" t="s">
        <v>556</v>
      </c>
      <c r="J58" s="28">
        <v>11357</v>
      </c>
      <c r="K58" s="69">
        <v>1.0800000000000001E-2</v>
      </c>
      <c r="M58" s="5" t="s">
        <v>1148</v>
      </c>
      <c r="N58" s="15">
        <v>1.6000000000000001E-3</v>
      </c>
    </row>
    <row r="59" spans="3:14" x14ac:dyDescent="0.3">
      <c r="C59" s="5" t="s">
        <v>51</v>
      </c>
      <c r="D59" s="1" t="s">
        <v>52</v>
      </c>
      <c r="E59" s="28">
        <v>62467</v>
      </c>
      <c r="F59" s="15">
        <v>1.15E-2</v>
      </c>
      <c r="H59" s="5" t="s">
        <v>557</v>
      </c>
      <c r="I59" s="1" t="s">
        <v>558</v>
      </c>
      <c r="J59" s="28">
        <v>11224</v>
      </c>
      <c r="K59" s="69">
        <v>7.9000000000000008E-3</v>
      </c>
      <c r="M59" s="5" t="s">
        <v>1120</v>
      </c>
      <c r="N59" s="15">
        <v>1.5E-3</v>
      </c>
    </row>
    <row r="60" spans="3:14" x14ac:dyDescent="0.3">
      <c r="C60" s="5" t="s">
        <v>69</v>
      </c>
      <c r="D60" s="1" t="s">
        <v>70</v>
      </c>
      <c r="E60" s="28">
        <v>59317</v>
      </c>
      <c r="F60" s="15">
        <v>-3.3999999999999998E-3</v>
      </c>
      <c r="H60" s="5" t="s">
        <v>531</v>
      </c>
      <c r="I60" s="1" t="s">
        <v>532</v>
      </c>
      <c r="J60" s="28">
        <v>10947</v>
      </c>
      <c r="K60" s="69">
        <v>2.7099999999999999E-2</v>
      </c>
      <c r="M60" s="5" t="s">
        <v>1141</v>
      </c>
      <c r="N60" s="15">
        <v>1.2999999999999999E-3</v>
      </c>
    </row>
    <row r="61" spans="3:14" x14ac:dyDescent="0.3">
      <c r="C61" s="5" t="s">
        <v>61</v>
      </c>
      <c r="D61" s="1" t="s">
        <v>62</v>
      </c>
      <c r="E61" s="28">
        <v>57978</v>
      </c>
      <c r="F61" s="15">
        <v>1.8E-3</v>
      </c>
      <c r="H61" s="5" t="s">
        <v>525</v>
      </c>
      <c r="I61" s="1" t="s">
        <v>526</v>
      </c>
      <c r="J61" s="28">
        <v>10769</v>
      </c>
      <c r="K61" s="69">
        <v>1.9800000000000002E-2</v>
      </c>
      <c r="M61" s="5" t="s">
        <v>1135</v>
      </c>
      <c r="N61" s="15">
        <v>6.9999999999999999E-4</v>
      </c>
    </row>
    <row r="62" spans="3:14" x14ac:dyDescent="0.3">
      <c r="C62" s="5" t="s">
        <v>75</v>
      </c>
      <c r="D62" s="1" t="s">
        <v>76</v>
      </c>
      <c r="E62" s="28">
        <v>56921</v>
      </c>
      <c r="F62" s="15">
        <v>0.02</v>
      </c>
      <c r="H62" s="5" t="s">
        <v>567</v>
      </c>
      <c r="I62" s="1" t="s">
        <v>568</v>
      </c>
      <c r="J62" s="28">
        <v>10510</v>
      </c>
      <c r="K62" s="69">
        <v>0</v>
      </c>
      <c r="M62" s="5" t="s">
        <v>1118</v>
      </c>
      <c r="N62" s="15">
        <v>5.9999999999999995E-4</v>
      </c>
    </row>
    <row r="63" spans="3:14" x14ac:dyDescent="0.3">
      <c r="C63" s="5" t="s">
        <v>27</v>
      </c>
      <c r="D63" s="1" t="s">
        <v>28</v>
      </c>
      <c r="E63" s="28">
        <v>55899</v>
      </c>
      <c r="F63" s="15">
        <v>1.9300000000000001E-2</v>
      </c>
      <c r="H63" s="5" t="s">
        <v>535</v>
      </c>
      <c r="I63" s="1" t="s">
        <v>536</v>
      </c>
      <c r="J63" s="28">
        <v>10462</v>
      </c>
      <c r="K63" s="69">
        <v>0</v>
      </c>
      <c r="M63" s="5" t="s">
        <v>1102</v>
      </c>
      <c r="N63" s="15">
        <v>5.0000000000000001E-4</v>
      </c>
    </row>
    <row r="64" spans="3:14" x14ac:dyDescent="0.3">
      <c r="C64" s="5" t="s">
        <v>57</v>
      </c>
      <c r="D64" s="1" t="s">
        <v>58</v>
      </c>
      <c r="E64" s="28">
        <v>52830</v>
      </c>
      <c r="F64" s="15">
        <v>0</v>
      </c>
      <c r="H64" s="5" t="s">
        <v>603</v>
      </c>
      <c r="I64" s="1" t="s">
        <v>604</v>
      </c>
      <c r="J64" s="28">
        <v>10300</v>
      </c>
      <c r="K64" s="69">
        <v>2.75E-2</v>
      </c>
      <c r="M64" s="5" t="s">
        <v>1085</v>
      </c>
      <c r="N64" s="15">
        <v>4.0000000000000002E-4</v>
      </c>
    </row>
    <row r="65" spans="3:14" x14ac:dyDescent="0.3">
      <c r="C65" s="5" t="s">
        <v>81</v>
      </c>
      <c r="D65" s="1" t="s">
        <v>82</v>
      </c>
      <c r="E65" s="28">
        <v>52196</v>
      </c>
      <c r="F65" s="15">
        <v>-4.7000000000000002E-3</v>
      </c>
      <c r="H65" s="5" t="s">
        <v>605</v>
      </c>
      <c r="I65" s="1" t="s">
        <v>606</v>
      </c>
      <c r="J65" s="28">
        <v>10160</v>
      </c>
      <c r="K65" s="69">
        <v>1.8200000000000001E-2</v>
      </c>
      <c r="M65" s="5" t="s">
        <v>1138</v>
      </c>
      <c r="N65" s="15">
        <v>2.0000000000000001E-4</v>
      </c>
    </row>
    <row r="66" spans="3:14" x14ac:dyDescent="0.3">
      <c r="C66" s="5" t="s">
        <v>63</v>
      </c>
      <c r="D66" s="1" t="s">
        <v>64</v>
      </c>
      <c r="E66" s="28">
        <v>52188</v>
      </c>
      <c r="F66" s="15">
        <v>-3.8E-3</v>
      </c>
      <c r="H66" s="5" t="s">
        <v>573</v>
      </c>
      <c r="I66" s="1" t="s">
        <v>574</v>
      </c>
      <c r="J66" s="28">
        <v>10084</v>
      </c>
      <c r="K66" s="69">
        <v>-5.8999999999999999E-3</v>
      </c>
      <c r="M66" s="5" t="s">
        <v>1152</v>
      </c>
      <c r="N66" s="15">
        <v>0</v>
      </c>
    </row>
    <row r="67" spans="3:14" x14ac:dyDescent="0.3">
      <c r="C67" s="5" t="s">
        <v>89</v>
      </c>
      <c r="D67" s="1" t="s">
        <v>90</v>
      </c>
      <c r="E67" s="28">
        <v>51476</v>
      </c>
      <c r="F67" s="15">
        <v>2.3E-3</v>
      </c>
      <c r="H67" s="5" t="s">
        <v>563</v>
      </c>
      <c r="I67" s="1" t="s">
        <v>564</v>
      </c>
      <c r="J67" s="28">
        <v>9942</v>
      </c>
      <c r="K67" s="69">
        <v>0.01</v>
      </c>
      <c r="M67" s="5" t="s">
        <v>1123</v>
      </c>
      <c r="N67" s="15">
        <v>-1E-4</v>
      </c>
    </row>
    <row r="68" spans="3:14" x14ac:dyDescent="0.3">
      <c r="C68" s="5" t="s">
        <v>93</v>
      </c>
      <c r="D68" s="1" t="s">
        <v>94</v>
      </c>
      <c r="E68" s="28">
        <v>50869</v>
      </c>
      <c r="F68" s="15">
        <v>5.1999999999999998E-3</v>
      </c>
      <c r="H68" s="5" t="s">
        <v>649</v>
      </c>
      <c r="I68" s="1" t="s">
        <v>650</v>
      </c>
      <c r="J68" s="28">
        <v>9693</v>
      </c>
      <c r="K68" s="69">
        <v>2.3E-2</v>
      </c>
      <c r="M68" s="5" t="s">
        <v>1145</v>
      </c>
      <c r="N68" s="15">
        <v>-1E-4</v>
      </c>
    </row>
    <row r="69" spans="3:14" x14ac:dyDescent="0.3">
      <c r="C69" s="5" t="s">
        <v>59</v>
      </c>
      <c r="D69" s="1" t="s">
        <v>60</v>
      </c>
      <c r="E69" s="28">
        <v>50400</v>
      </c>
      <c r="F69" s="15">
        <v>1.32E-2</v>
      </c>
      <c r="H69" s="5" t="s">
        <v>637</v>
      </c>
      <c r="I69" s="1" t="s">
        <v>638</v>
      </c>
      <c r="J69" s="28">
        <v>9682</v>
      </c>
      <c r="K69" s="69">
        <v>1.3100000000000001E-2</v>
      </c>
      <c r="M69" s="5" t="s">
        <v>1143</v>
      </c>
      <c r="N69" s="15">
        <v>-2.9999999999999997E-4</v>
      </c>
    </row>
    <row r="70" spans="3:14" x14ac:dyDescent="0.3">
      <c r="C70" s="5" t="s">
        <v>73</v>
      </c>
      <c r="D70" s="1" t="s">
        <v>74</v>
      </c>
      <c r="E70" s="28">
        <v>49619</v>
      </c>
      <c r="F70" s="15">
        <v>0</v>
      </c>
      <c r="H70" s="5" t="s">
        <v>577</v>
      </c>
      <c r="I70" s="1" t="s">
        <v>578</v>
      </c>
      <c r="J70" s="28">
        <v>9265</v>
      </c>
      <c r="K70" s="69">
        <v>1.2999999999999999E-3</v>
      </c>
      <c r="M70" s="5" t="s">
        <v>1081</v>
      </c>
      <c r="N70" s="15">
        <v>-6.9999999999999999E-4</v>
      </c>
    </row>
    <row r="71" spans="3:14" x14ac:dyDescent="0.3">
      <c r="C71" s="5" t="s">
        <v>55</v>
      </c>
      <c r="D71" s="1" t="s">
        <v>56</v>
      </c>
      <c r="E71" s="28">
        <v>49593</v>
      </c>
      <c r="F71" s="15">
        <v>6.0000000000000001E-3</v>
      </c>
      <c r="H71" s="5" t="s">
        <v>561</v>
      </c>
      <c r="I71" s="1" t="s">
        <v>562</v>
      </c>
      <c r="J71" s="28">
        <v>9255</v>
      </c>
      <c r="K71" s="69">
        <v>7.0000000000000001E-3</v>
      </c>
      <c r="M71" s="5" t="s">
        <v>1150</v>
      </c>
      <c r="N71" s="15">
        <v>-8.9999999999999998E-4</v>
      </c>
    </row>
    <row r="72" spans="3:14" x14ac:dyDescent="0.3">
      <c r="C72" s="5" t="s">
        <v>77</v>
      </c>
      <c r="D72" s="1" t="s">
        <v>78</v>
      </c>
      <c r="E72" s="28">
        <v>48426</v>
      </c>
      <c r="F72" s="15">
        <v>5.7999999999999996E-3</v>
      </c>
      <c r="H72" s="5" t="s">
        <v>717</v>
      </c>
      <c r="I72" s="1" t="s">
        <v>718</v>
      </c>
      <c r="J72" s="28">
        <v>9185</v>
      </c>
      <c r="K72" s="69">
        <v>3.1800000000000002E-2</v>
      </c>
      <c r="M72" s="5" t="s">
        <v>1153</v>
      </c>
      <c r="N72" s="15">
        <v>-1.1999999999999999E-3</v>
      </c>
    </row>
    <row r="73" spans="3:14" x14ac:dyDescent="0.3">
      <c r="C73" s="5" t="s">
        <v>97</v>
      </c>
      <c r="D73" s="1" t="s">
        <v>98</v>
      </c>
      <c r="E73" s="28">
        <v>47605</v>
      </c>
      <c r="F73" s="15">
        <v>1.1999999999999999E-3</v>
      </c>
      <c r="H73" s="5" t="s">
        <v>589</v>
      </c>
      <c r="I73" s="1" t="s">
        <v>590</v>
      </c>
      <c r="J73" s="28">
        <v>9110</v>
      </c>
      <c r="K73" s="69">
        <v>-6.0000000000000001E-3</v>
      </c>
      <c r="M73" s="5" t="s">
        <v>1096</v>
      </c>
      <c r="N73" s="15">
        <v>-1.2999999999999999E-3</v>
      </c>
    </row>
    <row r="74" spans="3:14" x14ac:dyDescent="0.3">
      <c r="C74" s="5" t="s">
        <v>119</v>
      </c>
      <c r="D74" s="1" t="s">
        <v>120</v>
      </c>
      <c r="E74" s="28">
        <v>44876</v>
      </c>
      <c r="F74" s="15">
        <v>3.5000000000000003E-2</v>
      </c>
      <c r="H74" s="5" t="s">
        <v>771</v>
      </c>
      <c r="I74" s="1" t="s">
        <v>772</v>
      </c>
      <c r="J74" s="28">
        <v>9088</v>
      </c>
      <c r="K74" s="69">
        <v>1.1999999999999999E-3</v>
      </c>
      <c r="M74" s="5" t="s">
        <v>1142</v>
      </c>
      <c r="N74" s="15">
        <v>-1.5E-3</v>
      </c>
    </row>
    <row r="75" spans="3:14" x14ac:dyDescent="0.3">
      <c r="C75" s="5" t="s">
        <v>79</v>
      </c>
      <c r="D75" s="1" t="s">
        <v>80</v>
      </c>
      <c r="E75" s="28">
        <v>44223</v>
      </c>
      <c r="F75" s="15">
        <v>-3.2000000000000002E-3</v>
      </c>
      <c r="H75" s="5" t="s">
        <v>583</v>
      </c>
      <c r="I75" s="1" t="s">
        <v>584</v>
      </c>
      <c r="J75" s="28">
        <v>9065</v>
      </c>
      <c r="K75" s="69">
        <v>6.4000000000000003E-3</v>
      </c>
      <c r="M75" s="5" t="s">
        <v>1129</v>
      </c>
      <c r="N75" s="15">
        <v>-2E-3</v>
      </c>
    </row>
    <row r="76" spans="3:14" x14ac:dyDescent="0.3">
      <c r="C76" s="5" t="s">
        <v>95</v>
      </c>
      <c r="D76" s="1" t="s">
        <v>96</v>
      </c>
      <c r="E76" s="28">
        <v>44078</v>
      </c>
      <c r="F76" s="15">
        <v>1.8E-3</v>
      </c>
      <c r="H76" s="5" t="s">
        <v>619</v>
      </c>
      <c r="I76" s="1" t="s">
        <v>620</v>
      </c>
      <c r="J76" s="28">
        <v>9028</v>
      </c>
      <c r="K76" s="69">
        <v>1.5599999999999999E-2</v>
      </c>
      <c r="M76" s="5" t="s">
        <v>1126</v>
      </c>
      <c r="N76" s="15">
        <v>-2.5999999999999999E-3</v>
      </c>
    </row>
    <row r="77" spans="3:14" x14ac:dyDescent="0.3">
      <c r="C77" s="5" t="s">
        <v>99</v>
      </c>
      <c r="D77" s="1" t="s">
        <v>100</v>
      </c>
      <c r="E77" s="28">
        <v>43458</v>
      </c>
      <c r="F77" s="15">
        <v>-2.1100000000000001E-2</v>
      </c>
      <c r="H77" s="5" t="s">
        <v>587</v>
      </c>
      <c r="I77" s="1" t="s">
        <v>588</v>
      </c>
      <c r="J77" s="28">
        <v>8991</v>
      </c>
      <c r="K77" s="69">
        <v>1.8E-3</v>
      </c>
      <c r="M77" s="5" t="s">
        <v>1151</v>
      </c>
      <c r="N77" s="15">
        <v>-4.1999999999999997E-3</v>
      </c>
    </row>
    <row r="78" spans="3:14" x14ac:dyDescent="0.3">
      <c r="C78" s="5" t="s">
        <v>136</v>
      </c>
      <c r="D78" s="1" t="s">
        <v>137</v>
      </c>
      <c r="E78" s="28">
        <v>43170</v>
      </c>
      <c r="F78" s="15">
        <v>0</v>
      </c>
      <c r="H78" s="5" t="s">
        <v>569</v>
      </c>
      <c r="I78" s="1" t="s">
        <v>570</v>
      </c>
      <c r="J78" s="28">
        <v>8970</v>
      </c>
      <c r="K78" s="69">
        <v>-1.1299999999999999E-2</v>
      </c>
      <c r="M78" s="5" t="s">
        <v>1108</v>
      </c>
      <c r="N78" s="15">
        <v>-6.1999999999999998E-3</v>
      </c>
    </row>
    <row r="79" spans="3:14" x14ac:dyDescent="0.3">
      <c r="C79" s="5" t="s">
        <v>83</v>
      </c>
      <c r="D79" s="1" t="s">
        <v>84</v>
      </c>
      <c r="E79" s="28">
        <v>41729</v>
      </c>
      <c r="F79" s="15">
        <v>4.8999999999999998E-3</v>
      </c>
      <c r="H79" s="5" t="s">
        <v>783</v>
      </c>
      <c r="I79" s="1" t="s">
        <v>784</v>
      </c>
      <c r="J79" s="28">
        <v>8946</v>
      </c>
      <c r="K79" s="69">
        <v>1.67E-2</v>
      </c>
      <c r="M79" s="5" t="s">
        <v>1101</v>
      </c>
      <c r="N79" s="15">
        <v>-6.6E-3</v>
      </c>
    </row>
    <row r="80" spans="3:14" x14ac:dyDescent="0.3">
      <c r="C80" s="5" t="s">
        <v>85</v>
      </c>
      <c r="D80" s="1" t="s">
        <v>86</v>
      </c>
      <c r="E80" s="28">
        <v>41686</v>
      </c>
      <c r="F80" s="15">
        <v>0</v>
      </c>
      <c r="H80" s="5" t="s">
        <v>613</v>
      </c>
      <c r="I80" s="1" t="s">
        <v>614</v>
      </c>
      <c r="J80" s="28">
        <v>8748</v>
      </c>
      <c r="K80" s="69">
        <v>2.5999999999999999E-3</v>
      </c>
      <c r="M80" s="71" t="s">
        <v>1103</v>
      </c>
      <c r="N80" s="15">
        <v>-8.6E-3</v>
      </c>
    </row>
    <row r="81" spans="3:14" x14ac:dyDescent="0.3">
      <c r="C81" s="5" t="s">
        <v>105</v>
      </c>
      <c r="D81" s="1" t="s">
        <v>106</v>
      </c>
      <c r="E81" s="28">
        <v>41328</v>
      </c>
      <c r="F81" s="15">
        <v>9.1999999999999998E-3</v>
      </c>
      <c r="H81" s="5" t="s">
        <v>673</v>
      </c>
      <c r="I81" s="1" t="s">
        <v>674</v>
      </c>
      <c r="J81" s="28">
        <v>8686</v>
      </c>
      <c r="K81" s="69">
        <v>3.8899999999999997E-2</v>
      </c>
      <c r="M81" s="71" t="s">
        <v>1083</v>
      </c>
      <c r="N81" s="15">
        <v>-8.6E-3</v>
      </c>
    </row>
    <row r="82" spans="3:14" x14ac:dyDescent="0.3">
      <c r="C82" s="5" t="s">
        <v>109</v>
      </c>
      <c r="D82" s="1" t="s">
        <v>110</v>
      </c>
      <c r="E82" s="28">
        <v>40704</v>
      </c>
      <c r="F82" s="15">
        <v>6.0000000000000001E-3</v>
      </c>
      <c r="H82" s="5" t="s">
        <v>571</v>
      </c>
      <c r="I82" s="1" t="s">
        <v>572</v>
      </c>
      <c r="J82" s="28">
        <v>8666</v>
      </c>
      <c r="K82" s="69">
        <v>0</v>
      </c>
      <c r="M82" s="71" t="s">
        <v>1092</v>
      </c>
      <c r="N82" s="15">
        <v>-1.3599999999999999E-2</v>
      </c>
    </row>
    <row r="83" spans="3:14" x14ac:dyDescent="0.3">
      <c r="C83" s="5" t="s">
        <v>87</v>
      </c>
      <c r="D83" s="1" t="s">
        <v>88</v>
      </c>
      <c r="E83" s="28">
        <v>40378</v>
      </c>
      <c r="F83" s="15">
        <v>5.7000000000000002E-3</v>
      </c>
      <c r="H83" s="5" t="s">
        <v>817</v>
      </c>
      <c r="I83" s="1" t="s">
        <v>818</v>
      </c>
      <c r="J83" s="28">
        <v>8394</v>
      </c>
      <c r="K83" s="69">
        <v>1.3899999999999999E-2</v>
      </c>
      <c r="M83" s="71" t="s">
        <v>1095</v>
      </c>
      <c r="N83" s="15">
        <v>-1.61E-2</v>
      </c>
    </row>
    <row r="84" spans="3:14" ht="17.25" thickBot="1" x14ac:dyDescent="0.35">
      <c r="C84" s="5" t="s">
        <v>65</v>
      </c>
      <c r="D84" s="1" t="s">
        <v>66</v>
      </c>
      <c r="E84" s="28">
        <v>39956</v>
      </c>
      <c r="F84" s="15">
        <v>1.34E-2</v>
      </c>
      <c r="H84" s="5" t="s">
        <v>1667</v>
      </c>
      <c r="I84" s="1" t="s">
        <v>1668</v>
      </c>
      <c r="J84" s="28">
        <v>8362</v>
      </c>
      <c r="K84" s="69">
        <v>-2.4899999999999999E-2</v>
      </c>
      <c r="M84" s="72" t="s">
        <v>1082</v>
      </c>
      <c r="N84" s="16">
        <v>-2.3400000000000001E-2</v>
      </c>
    </row>
    <row r="85" spans="3:14" x14ac:dyDescent="0.3">
      <c r="C85" s="5" t="s">
        <v>101</v>
      </c>
      <c r="D85" s="1" t="s">
        <v>102</v>
      </c>
      <c r="E85" s="28">
        <v>39566</v>
      </c>
      <c r="F85" s="15">
        <v>2.8999999999999998E-3</v>
      </c>
      <c r="H85" s="5" t="s">
        <v>635</v>
      </c>
      <c r="I85" s="1" t="s">
        <v>636</v>
      </c>
      <c r="J85" s="28">
        <v>8338</v>
      </c>
      <c r="K85" s="69">
        <v>1.12E-2</v>
      </c>
      <c r="M85" s="23"/>
      <c r="N85" s="25"/>
    </row>
    <row r="86" spans="3:14" x14ac:dyDescent="0.3">
      <c r="C86" s="5" t="s">
        <v>107</v>
      </c>
      <c r="D86" s="1" t="s">
        <v>108</v>
      </c>
      <c r="E86" s="28">
        <v>37213</v>
      </c>
      <c r="F86" s="15">
        <v>-1.1999999999999999E-3</v>
      </c>
      <c r="H86" s="5" t="s">
        <v>898</v>
      </c>
      <c r="I86" s="1" t="s">
        <v>899</v>
      </c>
      <c r="J86" s="28">
        <v>8255</v>
      </c>
      <c r="K86" s="69">
        <v>-3.8E-3</v>
      </c>
      <c r="M86" s="23"/>
      <c r="N86" s="25"/>
    </row>
    <row r="87" spans="3:14" x14ac:dyDescent="0.3">
      <c r="C87" s="5" t="s">
        <v>121</v>
      </c>
      <c r="D87" s="1" t="s">
        <v>122</v>
      </c>
      <c r="E87" s="28">
        <v>37033</v>
      </c>
      <c r="F87" s="15">
        <v>2.1100000000000001E-2</v>
      </c>
      <c r="H87" s="5" t="s">
        <v>1517</v>
      </c>
      <c r="I87" s="1" t="s">
        <v>1518</v>
      </c>
      <c r="J87" s="28">
        <v>8155</v>
      </c>
      <c r="K87" s="69">
        <v>-6.6E-3</v>
      </c>
    </row>
    <row r="88" spans="3:14" x14ac:dyDescent="0.3">
      <c r="C88" s="5" t="s">
        <v>113</v>
      </c>
      <c r="D88" s="1" t="s">
        <v>114</v>
      </c>
      <c r="E88" s="28">
        <v>36591</v>
      </c>
      <c r="F88" s="15">
        <v>1.3899999999999999E-2</v>
      </c>
      <c r="H88" s="5" t="s">
        <v>617</v>
      </c>
      <c r="I88" s="1" t="s">
        <v>618</v>
      </c>
      <c r="J88" s="28">
        <v>8109</v>
      </c>
      <c r="K88" s="69">
        <v>-5.4999999999999997E-3</v>
      </c>
    </row>
    <row r="89" spans="3:14" x14ac:dyDescent="0.3">
      <c r="C89" s="5" t="s">
        <v>144</v>
      </c>
      <c r="D89" s="1" t="s">
        <v>145</v>
      </c>
      <c r="E89" s="28">
        <v>36492</v>
      </c>
      <c r="F89" s="15">
        <v>-3.8999999999999998E-3</v>
      </c>
      <c r="H89" s="5" t="s">
        <v>653</v>
      </c>
      <c r="I89" s="1" t="s">
        <v>654</v>
      </c>
      <c r="J89" s="28">
        <v>7878</v>
      </c>
      <c r="K89" s="69">
        <v>2.1399999999999999E-2</v>
      </c>
    </row>
    <row r="90" spans="3:14" x14ac:dyDescent="0.3">
      <c r="C90" s="5" t="s">
        <v>91</v>
      </c>
      <c r="D90" s="1" t="s">
        <v>92</v>
      </c>
      <c r="E90" s="28">
        <v>35459</v>
      </c>
      <c r="F90" s="15">
        <v>-5.0299999999999997E-2</v>
      </c>
      <c r="H90" s="5" t="s">
        <v>787</v>
      </c>
      <c r="I90" s="1" t="s">
        <v>788</v>
      </c>
      <c r="J90" s="28">
        <v>7670</v>
      </c>
      <c r="K90" s="69">
        <v>3.2199999999999999E-2</v>
      </c>
    </row>
    <row r="91" spans="3:14" x14ac:dyDescent="0.3">
      <c r="C91" s="5" t="s">
        <v>132</v>
      </c>
      <c r="D91" s="1" t="s">
        <v>133</v>
      </c>
      <c r="E91" s="28">
        <v>35270</v>
      </c>
      <c r="F91" s="15">
        <v>8.6E-3</v>
      </c>
      <c r="H91" s="5" t="s">
        <v>631</v>
      </c>
      <c r="I91" s="1" t="s">
        <v>632</v>
      </c>
      <c r="J91" s="28">
        <v>7590</v>
      </c>
      <c r="K91" s="69">
        <v>-1.43E-2</v>
      </c>
    </row>
    <row r="92" spans="3:14" x14ac:dyDescent="0.3">
      <c r="C92" s="5" t="s">
        <v>172</v>
      </c>
      <c r="D92" s="1" t="s">
        <v>173</v>
      </c>
      <c r="E92" s="28">
        <v>35053</v>
      </c>
      <c r="F92" s="15">
        <v>8.6E-3</v>
      </c>
      <c r="H92" s="5" t="s">
        <v>1507</v>
      </c>
      <c r="I92" s="1" t="s">
        <v>1508</v>
      </c>
      <c r="J92" s="28">
        <v>7342</v>
      </c>
      <c r="K92" s="69">
        <v>4.4000000000000003E-3</v>
      </c>
    </row>
    <row r="93" spans="3:14" x14ac:dyDescent="0.3">
      <c r="C93" s="5" t="s">
        <v>123</v>
      </c>
      <c r="D93" s="1" t="s">
        <v>124</v>
      </c>
      <c r="E93" s="28">
        <v>35050</v>
      </c>
      <c r="F93" s="15">
        <v>1.4200000000000001E-2</v>
      </c>
      <c r="H93" s="5" t="s">
        <v>607</v>
      </c>
      <c r="I93" s="1" t="s">
        <v>608</v>
      </c>
      <c r="J93" s="28">
        <v>7294</v>
      </c>
      <c r="K93" s="69">
        <v>1.2800000000000001E-2</v>
      </c>
    </row>
    <row r="94" spans="3:14" x14ac:dyDescent="0.3">
      <c r="C94" s="5" t="s">
        <v>115</v>
      </c>
      <c r="D94" s="1" t="s">
        <v>116</v>
      </c>
      <c r="E94" s="28">
        <v>34830</v>
      </c>
      <c r="F94" s="15">
        <v>0</v>
      </c>
      <c r="H94" s="5" t="s">
        <v>615</v>
      </c>
      <c r="I94" s="1" t="s">
        <v>616</v>
      </c>
      <c r="J94" s="28">
        <v>7293</v>
      </c>
      <c r="K94" s="69">
        <v>2.41E-2</v>
      </c>
    </row>
    <row r="95" spans="3:14" x14ac:dyDescent="0.3">
      <c r="C95" s="5" t="s">
        <v>176</v>
      </c>
      <c r="D95" s="1" t="s">
        <v>177</v>
      </c>
      <c r="E95" s="28">
        <v>34750</v>
      </c>
      <c r="F95" s="15">
        <v>7.1000000000000004E-3</v>
      </c>
      <c r="H95" s="5" t="s">
        <v>625</v>
      </c>
      <c r="I95" s="1" t="s">
        <v>626</v>
      </c>
      <c r="J95" s="28">
        <v>7273</v>
      </c>
      <c r="K95" s="69">
        <v>1.2E-2</v>
      </c>
    </row>
    <row r="96" spans="3:14" x14ac:dyDescent="0.3">
      <c r="C96" s="5" t="s">
        <v>125</v>
      </c>
      <c r="D96" s="1" t="s">
        <v>126</v>
      </c>
      <c r="E96" s="28">
        <v>34264</v>
      </c>
      <c r="F96" s="15">
        <v>2.3E-3</v>
      </c>
      <c r="H96" s="5" t="s">
        <v>623</v>
      </c>
      <c r="I96" s="1" t="s">
        <v>624</v>
      </c>
      <c r="J96" s="28">
        <v>7258</v>
      </c>
      <c r="K96" s="69">
        <v>4.7000000000000002E-3</v>
      </c>
    </row>
    <row r="97" spans="3:11" x14ac:dyDescent="0.3">
      <c r="C97" s="5" t="s">
        <v>127</v>
      </c>
      <c r="D97" s="1" t="s">
        <v>128</v>
      </c>
      <c r="E97" s="28">
        <v>33848</v>
      </c>
      <c r="F97" s="15">
        <v>4.7800000000000002E-2</v>
      </c>
      <c r="H97" s="5" t="s">
        <v>669</v>
      </c>
      <c r="I97" s="1" t="s">
        <v>670</v>
      </c>
      <c r="J97" s="28">
        <v>7254</v>
      </c>
      <c r="K97" s="69">
        <v>1E-3</v>
      </c>
    </row>
    <row r="98" spans="3:11" x14ac:dyDescent="0.3">
      <c r="C98" s="5" t="s">
        <v>148</v>
      </c>
      <c r="D98" s="1" t="s">
        <v>149</v>
      </c>
      <c r="E98" s="28">
        <v>33467</v>
      </c>
      <c r="F98" s="15">
        <v>-7.7999999999999996E-3</v>
      </c>
      <c r="H98" s="5" t="s">
        <v>1552</v>
      </c>
      <c r="I98" s="1" t="s">
        <v>1553</v>
      </c>
      <c r="J98" s="28">
        <v>7251</v>
      </c>
      <c r="K98" s="69">
        <v>3.7000000000000002E-3</v>
      </c>
    </row>
    <row r="99" spans="3:11" x14ac:dyDescent="0.3">
      <c r="C99" s="5" t="s">
        <v>186</v>
      </c>
      <c r="D99" s="1" t="s">
        <v>187</v>
      </c>
      <c r="E99" s="28">
        <v>33250</v>
      </c>
      <c r="F99" s="15">
        <v>3.49E-2</v>
      </c>
      <c r="H99" s="5" t="s">
        <v>627</v>
      </c>
      <c r="I99" s="1" t="s">
        <v>628</v>
      </c>
      <c r="J99" s="28">
        <v>7189</v>
      </c>
      <c r="K99" s="69">
        <v>-8.6999999999999994E-3</v>
      </c>
    </row>
    <row r="100" spans="3:11" x14ac:dyDescent="0.3">
      <c r="C100" s="5" t="s">
        <v>220</v>
      </c>
      <c r="D100" s="1" t="s">
        <v>221</v>
      </c>
      <c r="E100" s="28">
        <v>33105</v>
      </c>
      <c r="F100" s="15">
        <v>3.0700000000000002E-2</v>
      </c>
      <c r="H100" s="5" t="s">
        <v>863</v>
      </c>
      <c r="I100" s="1" t="s">
        <v>864</v>
      </c>
      <c r="J100" s="28">
        <v>7176</v>
      </c>
      <c r="K100" s="69">
        <v>4.4600000000000001E-2</v>
      </c>
    </row>
    <row r="101" spans="3:11" x14ac:dyDescent="0.3">
      <c r="C101" s="5" t="s">
        <v>162</v>
      </c>
      <c r="D101" s="1" t="s">
        <v>163</v>
      </c>
      <c r="E101" s="28">
        <v>32994</v>
      </c>
      <c r="F101" s="15">
        <v>3.2500000000000001E-2</v>
      </c>
      <c r="H101" s="5" t="s">
        <v>609</v>
      </c>
      <c r="I101" s="1" t="s">
        <v>610</v>
      </c>
      <c r="J101" s="28">
        <v>7071</v>
      </c>
      <c r="K101" s="69">
        <v>1.6999999999999999E-3</v>
      </c>
    </row>
    <row r="102" spans="3:11" x14ac:dyDescent="0.3">
      <c r="C102" s="5" t="s">
        <v>134</v>
      </c>
      <c r="D102" s="1" t="s">
        <v>135</v>
      </c>
      <c r="E102" s="28">
        <v>32784</v>
      </c>
      <c r="F102" s="15">
        <v>8.6999999999999994E-3</v>
      </c>
      <c r="H102" s="5" t="s">
        <v>761</v>
      </c>
      <c r="I102" s="1" t="s">
        <v>762</v>
      </c>
      <c r="J102" s="28">
        <v>7007</v>
      </c>
      <c r="K102" s="69">
        <v>7.1000000000000004E-3</v>
      </c>
    </row>
    <row r="103" spans="3:11" x14ac:dyDescent="0.3">
      <c r="C103" s="5" t="s">
        <v>111</v>
      </c>
      <c r="D103" s="1" t="s">
        <v>112</v>
      </c>
      <c r="E103" s="28">
        <v>31729</v>
      </c>
      <c r="F103" s="15">
        <v>7.1999999999999998E-3</v>
      </c>
      <c r="H103" s="5" t="s">
        <v>579</v>
      </c>
      <c r="I103" s="1" t="s">
        <v>580</v>
      </c>
      <c r="J103" s="28">
        <v>6996</v>
      </c>
      <c r="K103" s="69">
        <v>1.4E-2</v>
      </c>
    </row>
    <row r="104" spans="3:11" x14ac:dyDescent="0.3">
      <c r="C104" s="5" t="s">
        <v>103</v>
      </c>
      <c r="D104" s="1" t="s">
        <v>104</v>
      </c>
      <c r="E104" s="28">
        <v>31506</v>
      </c>
      <c r="F104" s="15">
        <v>0</v>
      </c>
      <c r="H104" s="5" t="s">
        <v>679</v>
      </c>
      <c r="I104" s="1" t="s">
        <v>680</v>
      </c>
      <c r="J104" s="28">
        <v>6996</v>
      </c>
      <c r="K104" s="69">
        <v>-5.0000000000000001E-3</v>
      </c>
    </row>
    <row r="105" spans="3:11" x14ac:dyDescent="0.3">
      <c r="C105" s="5" t="s">
        <v>117</v>
      </c>
      <c r="D105" s="1" t="s">
        <v>118</v>
      </c>
      <c r="E105" s="28">
        <v>31037</v>
      </c>
      <c r="F105" s="15">
        <v>4.8999999999999998E-3</v>
      </c>
      <c r="H105" s="5" t="s">
        <v>1056</v>
      </c>
      <c r="I105" s="1" t="s">
        <v>1057</v>
      </c>
      <c r="J105" s="28">
        <v>6972</v>
      </c>
      <c r="K105" s="69">
        <v>-1.1900000000000001E-2</v>
      </c>
    </row>
    <row r="106" spans="3:11" x14ac:dyDescent="0.3">
      <c r="C106" s="5" t="s">
        <v>194</v>
      </c>
      <c r="D106" s="1" t="s">
        <v>195</v>
      </c>
      <c r="E106" s="28">
        <v>30479</v>
      </c>
      <c r="F106" s="15">
        <v>9.1999999999999998E-3</v>
      </c>
      <c r="H106" s="5" t="s">
        <v>747</v>
      </c>
      <c r="I106" s="1" t="s">
        <v>748</v>
      </c>
      <c r="J106" s="28">
        <v>6870</v>
      </c>
      <c r="K106" s="69">
        <v>-5.1000000000000004E-3</v>
      </c>
    </row>
    <row r="107" spans="3:11" x14ac:dyDescent="0.3">
      <c r="C107" s="5" t="s">
        <v>129</v>
      </c>
      <c r="D107" s="1" t="s">
        <v>130</v>
      </c>
      <c r="E107" s="28">
        <v>30463</v>
      </c>
      <c r="F107" s="15">
        <v>-3.0000000000000001E-3</v>
      </c>
      <c r="H107" s="5" t="s">
        <v>729</v>
      </c>
      <c r="I107" s="1" t="s">
        <v>730</v>
      </c>
      <c r="J107" s="28">
        <v>6850</v>
      </c>
      <c r="K107" s="69">
        <v>5.4800000000000001E-2</v>
      </c>
    </row>
    <row r="108" spans="3:11" x14ac:dyDescent="0.3">
      <c r="C108" s="5" t="s">
        <v>138</v>
      </c>
      <c r="D108" s="1" t="s">
        <v>139</v>
      </c>
      <c r="E108" s="28">
        <v>29953</v>
      </c>
      <c r="F108" s="15">
        <v>9.1000000000000004E-3</v>
      </c>
      <c r="H108" s="5" t="s">
        <v>890</v>
      </c>
      <c r="I108" s="1" t="s">
        <v>891</v>
      </c>
      <c r="J108" s="28">
        <v>6841</v>
      </c>
      <c r="K108" s="69">
        <v>-3.04E-2</v>
      </c>
    </row>
    <row r="109" spans="3:11" x14ac:dyDescent="0.3">
      <c r="C109" s="5" t="s">
        <v>146</v>
      </c>
      <c r="D109" s="1" t="s">
        <v>147</v>
      </c>
      <c r="E109" s="28">
        <v>29794</v>
      </c>
      <c r="F109" s="15">
        <v>2.92E-2</v>
      </c>
      <c r="H109" s="5" t="s">
        <v>1061</v>
      </c>
      <c r="I109" s="1" t="s">
        <v>1062</v>
      </c>
      <c r="J109" s="28">
        <v>6838</v>
      </c>
      <c r="K109" s="69">
        <v>8.5000000000000006E-3</v>
      </c>
    </row>
    <row r="110" spans="3:11" x14ac:dyDescent="0.3">
      <c r="C110" s="5" t="s">
        <v>168</v>
      </c>
      <c r="D110" s="1" t="s">
        <v>169</v>
      </c>
      <c r="E110" s="28">
        <v>29642</v>
      </c>
      <c r="F110" s="15">
        <v>1.18E-2</v>
      </c>
      <c r="H110" s="5" t="s">
        <v>741</v>
      </c>
      <c r="I110" s="1" t="s">
        <v>742</v>
      </c>
      <c r="J110" s="28">
        <v>6690</v>
      </c>
      <c r="K110" s="69">
        <v>5.1999999999999998E-3</v>
      </c>
    </row>
    <row r="111" spans="3:11" x14ac:dyDescent="0.3">
      <c r="C111" s="5" t="s">
        <v>166</v>
      </c>
      <c r="D111" s="1" t="s">
        <v>167</v>
      </c>
      <c r="E111" s="28">
        <v>29235</v>
      </c>
      <c r="F111" s="15">
        <v>-9.1999999999999998E-3</v>
      </c>
      <c r="H111" s="5" t="s">
        <v>527</v>
      </c>
      <c r="I111" s="1" t="s">
        <v>528</v>
      </c>
      <c r="J111" s="28">
        <v>6616</v>
      </c>
      <c r="K111" s="69">
        <v>7.2499999999999995E-2</v>
      </c>
    </row>
    <row r="112" spans="3:11" x14ac:dyDescent="0.3">
      <c r="C112" s="5" t="s">
        <v>233</v>
      </c>
      <c r="D112" s="1" t="s">
        <v>234</v>
      </c>
      <c r="E112" s="28">
        <v>29096</v>
      </c>
      <c r="F112" s="15">
        <v>-2.4E-2</v>
      </c>
      <c r="H112" s="5" t="s">
        <v>599</v>
      </c>
      <c r="I112" s="1" t="s">
        <v>600</v>
      </c>
      <c r="J112" s="28">
        <v>6559</v>
      </c>
      <c r="K112" s="69">
        <v>1.2999999999999999E-3</v>
      </c>
    </row>
    <row r="113" spans="3:11" x14ac:dyDescent="0.3">
      <c r="C113" s="5" t="s">
        <v>206</v>
      </c>
      <c r="D113" s="1" t="s">
        <v>207</v>
      </c>
      <c r="E113" s="28">
        <v>28719</v>
      </c>
      <c r="F113" s="15">
        <v>-4.4000000000000003E-3</v>
      </c>
      <c r="H113" s="5" t="s">
        <v>681</v>
      </c>
      <c r="I113" s="1" t="s">
        <v>682</v>
      </c>
      <c r="J113" s="28">
        <v>6555</v>
      </c>
      <c r="K113" s="69">
        <v>5.4899999999999997E-2</v>
      </c>
    </row>
    <row r="114" spans="3:11" x14ac:dyDescent="0.3">
      <c r="C114" s="5" t="s">
        <v>152</v>
      </c>
      <c r="D114" s="1" t="s">
        <v>153</v>
      </c>
      <c r="E114" s="28">
        <v>28486</v>
      </c>
      <c r="F114" s="15">
        <v>7.6E-3</v>
      </c>
      <c r="H114" s="5" t="s">
        <v>647</v>
      </c>
      <c r="I114" s="1" t="s">
        <v>648</v>
      </c>
      <c r="J114" s="28">
        <v>6501</v>
      </c>
      <c r="K114" s="69">
        <v>4.7999999999999996E-3</v>
      </c>
    </row>
    <row r="115" spans="3:11" x14ac:dyDescent="0.3">
      <c r="C115" s="5" t="s">
        <v>178</v>
      </c>
      <c r="D115" s="1" t="s">
        <v>179</v>
      </c>
      <c r="E115" s="28">
        <v>27960</v>
      </c>
      <c r="F115" s="15">
        <v>0</v>
      </c>
      <c r="H115" s="5" t="s">
        <v>657</v>
      </c>
      <c r="I115" s="1" t="s">
        <v>658</v>
      </c>
      <c r="J115" s="28">
        <v>6377</v>
      </c>
      <c r="K115" s="69">
        <v>-2.8E-3</v>
      </c>
    </row>
    <row r="116" spans="3:11" x14ac:dyDescent="0.3">
      <c r="C116" s="5" t="s">
        <v>164</v>
      </c>
      <c r="D116" s="1" t="s">
        <v>165</v>
      </c>
      <c r="E116" s="28">
        <v>27572</v>
      </c>
      <c r="F116" s="15">
        <v>5.3E-3</v>
      </c>
      <c r="H116" s="5" t="s">
        <v>633</v>
      </c>
      <c r="I116" s="1" t="s">
        <v>634</v>
      </c>
      <c r="J116" s="28">
        <v>6354</v>
      </c>
      <c r="K116" s="69">
        <v>1.1000000000000001E-3</v>
      </c>
    </row>
    <row r="117" spans="3:11" x14ac:dyDescent="0.3">
      <c r="C117" s="5" t="s">
        <v>200</v>
      </c>
      <c r="D117" s="1" t="s">
        <v>201</v>
      </c>
      <c r="E117" s="28">
        <v>27389</v>
      </c>
      <c r="F117" s="15">
        <v>9.1000000000000004E-3</v>
      </c>
      <c r="H117" s="5" t="s">
        <v>683</v>
      </c>
      <c r="I117" s="1" t="s">
        <v>684</v>
      </c>
      <c r="J117" s="28">
        <v>6322</v>
      </c>
      <c r="K117" s="69">
        <v>2.4299999999999999E-2</v>
      </c>
    </row>
    <row r="118" spans="3:11" x14ac:dyDescent="0.3">
      <c r="C118" s="5" t="s">
        <v>150</v>
      </c>
      <c r="D118" s="1" t="s">
        <v>151</v>
      </c>
      <c r="E118" s="28">
        <v>26896</v>
      </c>
      <c r="F118" s="15">
        <v>-3.8999999999999998E-3</v>
      </c>
      <c r="H118" s="5" t="s">
        <v>621</v>
      </c>
      <c r="I118" s="1" t="s">
        <v>622</v>
      </c>
      <c r="J118" s="28">
        <v>6322</v>
      </c>
      <c r="K118" s="69">
        <v>2.1700000000000001E-2</v>
      </c>
    </row>
    <row r="119" spans="3:11" x14ac:dyDescent="0.3">
      <c r="C119" s="5" t="s">
        <v>237</v>
      </c>
      <c r="D119" s="1" t="s">
        <v>238</v>
      </c>
      <c r="E119" s="28">
        <v>26838</v>
      </c>
      <c r="F119" s="15">
        <v>-1.7500000000000002E-2</v>
      </c>
      <c r="H119" s="5" t="s">
        <v>591</v>
      </c>
      <c r="I119" s="1" t="s">
        <v>592</v>
      </c>
      <c r="J119" s="28">
        <v>6276</v>
      </c>
      <c r="K119" s="69">
        <v>0</v>
      </c>
    </row>
    <row r="120" spans="3:11" x14ac:dyDescent="0.3">
      <c r="C120" s="5" t="s">
        <v>140</v>
      </c>
      <c r="D120" s="1" t="s">
        <v>141</v>
      </c>
      <c r="E120" s="28">
        <v>26822</v>
      </c>
      <c r="F120" s="15">
        <v>1.9599999999999999E-2</v>
      </c>
      <c r="H120" s="5" t="s">
        <v>873</v>
      </c>
      <c r="I120" s="1" t="s">
        <v>874</v>
      </c>
      <c r="J120" s="28">
        <v>6269</v>
      </c>
      <c r="K120" s="69">
        <v>-5.3E-3</v>
      </c>
    </row>
    <row r="121" spans="3:11" x14ac:dyDescent="0.3">
      <c r="C121" s="5" t="s">
        <v>180</v>
      </c>
      <c r="D121" s="1" t="s">
        <v>181</v>
      </c>
      <c r="E121" s="28">
        <v>26754</v>
      </c>
      <c r="F121" s="15">
        <v>1.8700000000000001E-2</v>
      </c>
      <c r="H121" s="5" t="s">
        <v>691</v>
      </c>
      <c r="I121" s="1" t="s">
        <v>692</v>
      </c>
      <c r="J121" s="28">
        <v>6253</v>
      </c>
      <c r="K121" s="69">
        <v>7.6E-3</v>
      </c>
    </row>
    <row r="122" spans="3:11" x14ac:dyDescent="0.3">
      <c r="C122" s="5" t="s">
        <v>265</v>
      </c>
      <c r="D122" s="1" t="s">
        <v>266</v>
      </c>
      <c r="E122" s="28">
        <v>26060</v>
      </c>
      <c r="F122" s="15">
        <v>-3.2000000000000002E-3</v>
      </c>
      <c r="H122" s="5" t="s">
        <v>1596</v>
      </c>
      <c r="I122" s="1" t="s">
        <v>1597</v>
      </c>
      <c r="J122" s="28">
        <v>6243</v>
      </c>
      <c r="K122" s="69">
        <v>3.2000000000000002E-3</v>
      </c>
    </row>
    <row r="123" spans="3:11" x14ac:dyDescent="0.3">
      <c r="C123" s="5" t="s">
        <v>253</v>
      </c>
      <c r="D123" s="1" t="s">
        <v>254</v>
      </c>
      <c r="E123" s="28">
        <v>26040</v>
      </c>
      <c r="F123" s="15">
        <v>1.6400000000000001E-2</v>
      </c>
      <c r="H123" s="5" t="s">
        <v>795</v>
      </c>
      <c r="I123" s="1" t="s">
        <v>796</v>
      </c>
      <c r="J123" s="28">
        <v>6228</v>
      </c>
      <c r="K123" s="69">
        <v>1.6199999999999999E-2</v>
      </c>
    </row>
    <row r="124" spans="3:11" x14ac:dyDescent="0.3">
      <c r="C124" s="5" t="s">
        <v>212</v>
      </c>
      <c r="D124" s="1" t="s">
        <v>213</v>
      </c>
      <c r="E124" s="28">
        <v>25958</v>
      </c>
      <c r="F124" s="15">
        <v>1.78E-2</v>
      </c>
      <c r="H124" s="5" t="s">
        <v>585</v>
      </c>
      <c r="I124" s="1" t="s">
        <v>586</v>
      </c>
      <c r="J124" s="28">
        <v>6225</v>
      </c>
      <c r="K124" s="69">
        <v>1.55E-2</v>
      </c>
    </row>
    <row r="125" spans="3:11" x14ac:dyDescent="0.3">
      <c r="C125" s="5" t="s">
        <v>190</v>
      </c>
      <c r="D125" s="1" t="s">
        <v>191</v>
      </c>
      <c r="E125" s="28">
        <v>25818</v>
      </c>
      <c r="F125" s="15">
        <v>1.44E-2</v>
      </c>
      <c r="H125" s="5" t="s">
        <v>785</v>
      </c>
      <c r="I125" s="1" t="s">
        <v>786</v>
      </c>
      <c r="J125" s="28">
        <v>6181</v>
      </c>
      <c r="K125" s="69">
        <v>1.6000000000000001E-3</v>
      </c>
    </row>
    <row r="126" spans="3:11" x14ac:dyDescent="0.3">
      <c r="C126" s="5" t="s">
        <v>239</v>
      </c>
      <c r="D126" s="1" t="s">
        <v>240</v>
      </c>
      <c r="E126" s="28">
        <v>25707</v>
      </c>
      <c r="F126" s="15">
        <v>8.6999999999999994E-3</v>
      </c>
      <c r="H126" s="5" t="s">
        <v>765</v>
      </c>
      <c r="I126" s="1" t="s">
        <v>766</v>
      </c>
      <c r="J126" s="28">
        <v>6130</v>
      </c>
      <c r="K126" s="69">
        <v>3.5999999999999999E-3</v>
      </c>
    </row>
    <row r="127" spans="3:11" x14ac:dyDescent="0.3">
      <c r="C127" s="5" t="s">
        <v>160</v>
      </c>
      <c r="D127" s="1" t="s">
        <v>161</v>
      </c>
      <c r="E127" s="28">
        <v>24807</v>
      </c>
      <c r="F127" s="15">
        <v>1.34E-2</v>
      </c>
      <c r="H127" s="5" t="s">
        <v>651</v>
      </c>
      <c r="I127" s="1" t="s">
        <v>652</v>
      </c>
      <c r="J127" s="28">
        <v>6121</v>
      </c>
      <c r="K127" s="69">
        <v>1.83E-2</v>
      </c>
    </row>
    <row r="128" spans="3:11" x14ac:dyDescent="0.3">
      <c r="C128" s="5" t="s">
        <v>154</v>
      </c>
      <c r="D128" s="1" t="s">
        <v>155</v>
      </c>
      <c r="E128" s="28">
        <v>24676</v>
      </c>
      <c r="F128" s="15">
        <v>1.66E-2</v>
      </c>
      <c r="H128" s="5" t="s">
        <v>888</v>
      </c>
      <c r="I128" s="1" t="s">
        <v>889</v>
      </c>
      <c r="J128" s="28">
        <v>6115</v>
      </c>
      <c r="K128" s="69">
        <v>2.01E-2</v>
      </c>
    </row>
    <row r="129" spans="3:11" x14ac:dyDescent="0.3">
      <c r="C129" s="5" t="s">
        <v>156</v>
      </c>
      <c r="D129" s="1" t="s">
        <v>157</v>
      </c>
      <c r="E129" s="28">
        <v>24358</v>
      </c>
      <c r="F129" s="15">
        <v>9.7999999999999997E-3</v>
      </c>
      <c r="H129" s="5" t="s">
        <v>737</v>
      </c>
      <c r="I129" s="1" t="s">
        <v>738</v>
      </c>
      <c r="J129" s="28">
        <v>6084</v>
      </c>
      <c r="K129" s="69">
        <v>-1.2999999999999999E-3</v>
      </c>
    </row>
    <row r="130" spans="3:11" x14ac:dyDescent="0.3">
      <c r="C130" s="5" t="s">
        <v>303</v>
      </c>
      <c r="D130" s="1" t="s">
        <v>304</v>
      </c>
      <c r="E130" s="28">
        <v>24205</v>
      </c>
      <c r="F130" s="15">
        <v>-1.6000000000000001E-3</v>
      </c>
      <c r="H130" s="5" t="s">
        <v>843</v>
      </c>
      <c r="I130" s="1" t="s">
        <v>844</v>
      </c>
      <c r="J130" s="28">
        <v>6074</v>
      </c>
      <c r="K130" s="69">
        <v>5.5100000000000003E-2</v>
      </c>
    </row>
    <row r="131" spans="3:11" x14ac:dyDescent="0.3">
      <c r="C131" s="5" t="s">
        <v>422</v>
      </c>
      <c r="D131" s="1" t="s">
        <v>423</v>
      </c>
      <c r="E131" s="28">
        <v>23586</v>
      </c>
      <c r="F131" s="15">
        <v>-1.4500000000000001E-2</v>
      </c>
      <c r="H131" s="5" t="s">
        <v>725</v>
      </c>
      <c r="I131" s="1" t="s">
        <v>726</v>
      </c>
      <c r="J131" s="28">
        <v>5969</v>
      </c>
      <c r="K131" s="69">
        <v>-7.7000000000000002E-3</v>
      </c>
    </row>
    <row r="132" spans="3:11" x14ac:dyDescent="0.3">
      <c r="C132" s="5" t="s">
        <v>1631</v>
      </c>
      <c r="D132" s="1" t="s">
        <v>1632</v>
      </c>
      <c r="E132" s="28">
        <v>23424</v>
      </c>
      <c r="F132" s="15">
        <v>-1.6299999999999999E-2</v>
      </c>
      <c r="H132" s="5" t="s">
        <v>1669</v>
      </c>
      <c r="I132" s="1" t="s">
        <v>1670</v>
      </c>
      <c r="J132" s="28">
        <v>5956</v>
      </c>
      <c r="K132" s="69">
        <v>3.3500000000000002E-2</v>
      </c>
    </row>
    <row r="133" spans="3:11" x14ac:dyDescent="0.3">
      <c r="C133" s="5" t="s">
        <v>299</v>
      </c>
      <c r="D133" s="1" t="s">
        <v>300</v>
      </c>
      <c r="E133" s="28">
        <v>22871</v>
      </c>
      <c r="F133" s="15">
        <v>4.3400000000000001E-2</v>
      </c>
      <c r="H133" s="5" t="s">
        <v>643</v>
      </c>
      <c r="I133" s="1" t="s">
        <v>644</v>
      </c>
      <c r="J133" s="28">
        <v>5932</v>
      </c>
      <c r="K133" s="69">
        <v>-2.7300000000000001E-2</v>
      </c>
    </row>
    <row r="134" spans="3:11" x14ac:dyDescent="0.3">
      <c r="C134" s="5" t="s">
        <v>231</v>
      </c>
      <c r="D134" s="1" t="s">
        <v>232</v>
      </c>
      <c r="E134" s="28">
        <v>22792</v>
      </c>
      <c r="F134" s="15">
        <v>-1.3299999999999999E-2</v>
      </c>
      <c r="H134" s="5" t="s">
        <v>667</v>
      </c>
      <c r="I134" s="1" t="s">
        <v>668</v>
      </c>
      <c r="J134" s="28">
        <v>5903</v>
      </c>
      <c r="K134" s="69">
        <v>-4.5999999999999999E-3</v>
      </c>
    </row>
    <row r="135" spans="3:11" x14ac:dyDescent="0.3">
      <c r="C135" s="5" t="s">
        <v>210</v>
      </c>
      <c r="D135" s="1" t="s">
        <v>211</v>
      </c>
      <c r="E135" s="28">
        <v>22592</v>
      </c>
      <c r="F135" s="15">
        <v>-7.1999999999999998E-3</v>
      </c>
      <c r="H135" s="5" t="s">
        <v>1031</v>
      </c>
      <c r="I135" s="1" t="s">
        <v>1032</v>
      </c>
      <c r="J135" s="28">
        <v>5892</v>
      </c>
      <c r="K135" s="69">
        <v>7.4999999999999997E-2</v>
      </c>
    </row>
    <row r="136" spans="3:11" x14ac:dyDescent="0.3">
      <c r="C136" s="5" t="s">
        <v>188</v>
      </c>
      <c r="D136" s="1" t="s">
        <v>189</v>
      </c>
      <c r="E136" s="28">
        <v>22450</v>
      </c>
      <c r="F136" s="15">
        <v>1.35E-2</v>
      </c>
      <c r="H136" s="5" t="s">
        <v>779</v>
      </c>
      <c r="I136" s="1" t="s">
        <v>780</v>
      </c>
      <c r="J136" s="28">
        <v>5839</v>
      </c>
      <c r="K136" s="69">
        <v>2.8799999999999999E-2</v>
      </c>
    </row>
    <row r="137" spans="3:11" x14ac:dyDescent="0.3">
      <c r="C137" s="5" t="s">
        <v>208</v>
      </c>
      <c r="D137" s="1" t="s">
        <v>209</v>
      </c>
      <c r="E137" s="28">
        <v>21773</v>
      </c>
      <c r="F137" s="15">
        <v>-2.1700000000000001E-2</v>
      </c>
      <c r="H137" s="5" t="s">
        <v>829</v>
      </c>
      <c r="I137" s="1" t="s">
        <v>830</v>
      </c>
      <c r="J137" s="28">
        <v>5820</v>
      </c>
      <c r="K137" s="69">
        <v>8.0999999999999996E-3</v>
      </c>
    </row>
    <row r="138" spans="3:11" x14ac:dyDescent="0.3">
      <c r="C138" s="5" t="s">
        <v>182</v>
      </c>
      <c r="D138" s="1" t="s">
        <v>183</v>
      </c>
      <c r="E138" s="28">
        <v>21591</v>
      </c>
      <c r="F138" s="15">
        <v>3.3999999999999998E-3</v>
      </c>
      <c r="H138" s="5" t="s">
        <v>601</v>
      </c>
      <c r="I138" s="1" t="s">
        <v>602</v>
      </c>
      <c r="J138" s="28">
        <v>5810</v>
      </c>
      <c r="K138" s="69">
        <v>1.3299999999999999E-2</v>
      </c>
    </row>
    <row r="139" spans="3:11" x14ac:dyDescent="0.3">
      <c r="C139" s="5" t="s">
        <v>277</v>
      </c>
      <c r="D139" s="1" t="s">
        <v>278</v>
      </c>
      <c r="E139" s="28">
        <v>21550</v>
      </c>
      <c r="F139" s="15">
        <v>2.0899999999999998E-2</v>
      </c>
      <c r="H139" s="5" t="s">
        <v>723</v>
      </c>
      <c r="I139" s="1" t="s">
        <v>724</v>
      </c>
      <c r="J139" s="28">
        <v>5806</v>
      </c>
      <c r="K139" s="69">
        <v>7.1000000000000004E-3</v>
      </c>
    </row>
    <row r="140" spans="3:11" x14ac:dyDescent="0.3">
      <c r="C140" s="5" t="s">
        <v>269</v>
      </c>
      <c r="D140" s="1" t="s">
        <v>270</v>
      </c>
      <c r="E140" s="28">
        <v>21515</v>
      </c>
      <c r="F140" s="15">
        <v>3.9199999999999999E-2</v>
      </c>
      <c r="H140" s="5" t="s">
        <v>629</v>
      </c>
      <c r="I140" s="1" t="s">
        <v>630</v>
      </c>
      <c r="J140" s="28">
        <v>5785</v>
      </c>
      <c r="K140" s="69">
        <v>-5.0000000000000001E-3</v>
      </c>
    </row>
    <row r="141" spans="3:11" x14ac:dyDescent="0.3">
      <c r="C141" s="5" t="s">
        <v>198</v>
      </c>
      <c r="D141" s="1" t="s">
        <v>199</v>
      </c>
      <c r="E141" s="28">
        <v>21445</v>
      </c>
      <c r="F141" s="15">
        <v>-6.0000000000000001E-3</v>
      </c>
      <c r="H141" s="5" t="s">
        <v>896</v>
      </c>
      <c r="I141" s="1" t="s">
        <v>897</v>
      </c>
      <c r="J141" s="28">
        <v>5720</v>
      </c>
      <c r="K141" s="69">
        <v>0.19470000000000001</v>
      </c>
    </row>
    <row r="142" spans="3:11" x14ac:dyDescent="0.3">
      <c r="C142" s="5" t="s">
        <v>192</v>
      </c>
      <c r="D142" s="1" t="s">
        <v>193</v>
      </c>
      <c r="E142" s="28">
        <v>21381</v>
      </c>
      <c r="F142" s="15">
        <v>-1.06E-2</v>
      </c>
      <c r="H142" s="5" t="s">
        <v>645</v>
      </c>
      <c r="I142" s="1" t="s">
        <v>646</v>
      </c>
      <c r="J142" s="28">
        <v>5681</v>
      </c>
      <c r="K142" s="69">
        <v>-3.5000000000000001E-3</v>
      </c>
    </row>
    <row r="143" spans="3:11" x14ac:dyDescent="0.3">
      <c r="C143" s="5" t="s">
        <v>170</v>
      </c>
      <c r="D143" s="1" t="s">
        <v>171</v>
      </c>
      <c r="E143" s="28">
        <v>21277</v>
      </c>
      <c r="F143" s="15">
        <v>-6.3E-3</v>
      </c>
      <c r="H143" s="5" t="s">
        <v>671</v>
      </c>
      <c r="I143" s="1" t="s">
        <v>672</v>
      </c>
      <c r="J143" s="28">
        <v>5671</v>
      </c>
      <c r="K143" s="69">
        <v>2.8E-3</v>
      </c>
    </row>
    <row r="144" spans="3:11" x14ac:dyDescent="0.3">
      <c r="C144" s="5" t="s">
        <v>257</v>
      </c>
      <c r="D144" s="1" t="s">
        <v>258</v>
      </c>
      <c r="E144" s="28">
        <v>21037</v>
      </c>
      <c r="F144" s="15">
        <v>7.3000000000000001E-3</v>
      </c>
      <c r="H144" s="5" t="s">
        <v>803</v>
      </c>
      <c r="I144" s="1" t="s">
        <v>804</v>
      </c>
      <c r="J144" s="28">
        <v>5640</v>
      </c>
      <c r="K144" s="69">
        <v>4.9500000000000002E-2</v>
      </c>
    </row>
    <row r="145" spans="3:11" x14ac:dyDescent="0.3">
      <c r="C145" s="5" t="s">
        <v>245</v>
      </c>
      <c r="D145" s="1" t="s">
        <v>246</v>
      </c>
      <c r="E145" s="28">
        <v>20931</v>
      </c>
      <c r="F145" s="15">
        <v>-8.3000000000000001E-3</v>
      </c>
      <c r="H145" s="5" t="s">
        <v>1043</v>
      </c>
      <c r="I145" s="1" t="s">
        <v>1044</v>
      </c>
      <c r="J145" s="28">
        <v>5606</v>
      </c>
      <c r="K145" s="69">
        <v>2.7099999999999999E-2</v>
      </c>
    </row>
    <row r="146" spans="3:11" x14ac:dyDescent="0.3">
      <c r="C146" s="5" t="s">
        <v>158</v>
      </c>
      <c r="D146" s="1" t="s">
        <v>159</v>
      </c>
      <c r="E146" s="28">
        <v>20588</v>
      </c>
      <c r="F146" s="15">
        <v>-2.8199999999999999E-2</v>
      </c>
      <c r="H146" s="5" t="s">
        <v>697</v>
      </c>
      <c r="I146" s="1" t="s">
        <v>698</v>
      </c>
      <c r="J146" s="28">
        <v>5605</v>
      </c>
      <c r="K146" s="69">
        <v>4.4999999999999997E-3</v>
      </c>
    </row>
    <row r="147" spans="3:11" x14ac:dyDescent="0.3">
      <c r="C147" s="5" t="s">
        <v>226</v>
      </c>
      <c r="D147" s="1" t="s">
        <v>227</v>
      </c>
      <c r="E147" s="28">
        <v>20547</v>
      </c>
      <c r="F147" s="15">
        <v>-2.3E-3</v>
      </c>
      <c r="H147" s="5" t="s">
        <v>791</v>
      </c>
      <c r="I147" s="1" t="s">
        <v>792</v>
      </c>
      <c r="J147" s="28">
        <v>5554</v>
      </c>
      <c r="K147" s="69">
        <v>2.0899999999999998E-2</v>
      </c>
    </row>
    <row r="148" spans="3:11" x14ac:dyDescent="0.3">
      <c r="C148" s="5" t="s">
        <v>261</v>
      </c>
      <c r="D148" s="1" t="s">
        <v>262</v>
      </c>
      <c r="E148" s="28">
        <v>19097</v>
      </c>
      <c r="F148" s="15">
        <v>1.4200000000000001E-2</v>
      </c>
      <c r="H148" s="5" t="s">
        <v>1536</v>
      </c>
      <c r="I148" s="1" t="s">
        <v>1537</v>
      </c>
      <c r="J148" s="28">
        <v>5520</v>
      </c>
      <c r="K148" s="69">
        <v>2.6700000000000002E-2</v>
      </c>
    </row>
    <row r="149" spans="3:11" x14ac:dyDescent="0.3">
      <c r="C149" s="5" t="s">
        <v>1633</v>
      </c>
      <c r="D149" s="1" t="s">
        <v>1634</v>
      </c>
      <c r="E149" s="28">
        <v>18750</v>
      </c>
      <c r="F149" s="15">
        <v>-4.7999999999999996E-3</v>
      </c>
      <c r="H149" s="5" t="s">
        <v>677</v>
      </c>
      <c r="I149" s="1" t="s">
        <v>678</v>
      </c>
      <c r="J149" s="28">
        <v>5443</v>
      </c>
      <c r="K149" s="69">
        <v>1.6000000000000001E-3</v>
      </c>
    </row>
    <row r="150" spans="3:11" x14ac:dyDescent="0.3">
      <c r="C150" s="5" t="s">
        <v>184</v>
      </c>
      <c r="D150" s="1" t="s">
        <v>185</v>
      </c>
      <c r="E150" s="28">
        <v>18718</v>
      </c>
      <c r="F150" s="15">
        <v>1E-4</v>
      </c>
      <c r="H150" s="5" t="s">
        <v>767</v>
      </c>
      <c r="I150" s="1" t="s">
        <v>768</v>
      </c>
      <c r="J150" s="28">
        <v>5421</v>
      </c>
      <c r="K150" s="69">
        <v>4.1999999999999997E-3</v>
      </c>
    </row>
    <row r="151" spans="3:11" x14ac:dyDescent="0.3">
      <c r="C151" s="5" t="s">
        <v>259</v>
      </c>
      <c r="D151" s="1" t="s">
        <v>260</v>
      </c>
      <c r="E151" s="28">
        <v>18718</v>
      </c>
      <c r="F151" s="15">
        <v>1.8E-3</v>
      </c>
      <c r="H151" s="5" t="s">
        <v>797</v>
      </c>
      <c r="I151" s="1" t="s">
        <v>798</v>
      </c>
      <c r="J151" s="28">
        <v>5415</v>
      </c>
      <c r="K151" s="69">
        <v>1.23E-2</v>
      </c>
    </row>
    <row r="152" spans="3:11" x14ac:dyDescent="0.3">
      <c r="C152" s="5" t="s">
        <v>222</v>
      </c>
      <c r="D152" s="1" t="s">
        <v>223</v>
      </c>
      <c r="E152" s="28">
        <v>18346</v>
      </c>
      <c r="F152" s="15">
        <v>-1.1000000000000001E-3</v>
      </c>
      <c r="H152" s="5" t="s">
        <v>665</v>
      </c>
      <c r="I152" s="1" t="s">
        <v>666</v>
      </c>
      <c r="J152" s="28">
        <v>5413</v>
      </c>
      <c r="K152" s="69">
        <v>0</v>
      </c>
    </row>
    <row r="153" spans="3:11" x14ac:dyDescent="0.3">
      <c r="C153" s="5" t="s">
        <v>174</v>
      </c>
      <c r="D153" s="1" t="s">
        <v>175</v>
      </c>
      <c r="E153" s="28">
        <v>18272</v>
      </c>
      <c r="F153" s="15">
        <v>2.52E-2</v>
      </c>
      <c r="H153" s="5" t="s">
        <v>922</v>
      </c>
      <c r="I153" s="1" t="s">
        <v>923</v>
      </c>
      <c r="J153" s="28">
        <v>5381</v>
      </c>
      <c r="K153" s="69">
        <v>0.1157</v>
      </c>
    </row>
    <row r="154" spans="3:11" x14ac:dyDescent="0.3">
      <c r="C154" s="5" t="s">
        <v>247</v>
      </c>
      <c r="D154" s="1" t="s">
        <v>248</v>
      </c>
      <c r="E154" s="28">
        <v>18262</v>
      </c>
      <c r="F154" s="15">
        <v>7.4000000000000003E-3</v>
      </c>
      <c r="H154" s="5" t="s">
        <v>559</v>
      </c>
      <c r="I154" s="1" t="s">
        <v>560</v>
      </c>
      <c r="J154" s="28">
        <v>5375</v>
      </c>
      <c r="K154" s="69">
        <v>0</v>
      </c>
    </row>
    <row r="155" spans="3:11" x14ac:dyDescent="0.3">
      <c r="C155" s="5" t="s">
        <v>251</v>
      </c>
      <c r="D155" s="1" t="s">
        <v>252</v>
      </c>
      <c r="E155" s="28">
        <v>18123</v>
      </c>
      <c r="F155" s="15">
        <v>3.5400000000000001E-2</v>
      </c>
      <c r="H155" s="5" t="s">
        <v>1671</v>
      </c>
      <c r="I155" s="1" t="s">
        <v>1672</v>
      </c>
      <c r="J155" s="28">
        <v>5247</v>
      </c>
      <c r="K155" s="69">
        <v>9.1999999999999998E-3</v>
      </c>
    </row>
    <row r="156" spans="3:11" x14ac:dyDescent="0.3">
      <c r="C156" s="5" t="s">
        <v>204</v>
      </c>
      <c r="D156" s="1" t="s">
        <v>205</v>
      </c>
      <c r="E156" s="28">
        <v>18110</v>
      </c>
      <c r="F156" s="15">
        <v>-0.18720000000000001</v>
      </c>
      <c r="H156" s="5" t="s">
        <v>813</v>
      </c>
      <c r="I156" s="1" t="s">
        <v>814</v>
      </c>
      <c r="J156" s="28">
        <v>5228</v>
      </c>
      <c r="K156" s="69">
        <v>2.0999999999999999E-3</v>
      </c>
    </row>
    <row r="157" spans="3:11" x14ac:dyDescent="0.3">
      <c r="C157" s="5" t="s">
        <v>216</v>
      </c>
      <c r="D157" s="1" t="s">
        <v>217</v>
      </c>
      <c r="E157" s="28">
        <v>18060</v>
      </c>
      <c r="F157" s="15">
        <v>-3.3E-3</v>
      </c>
      <c r="H157" s="5" t="s">
        <v>882</v>
      </c>
      <c r="I157" s="1" t="s">
        <v>883</v>
      </c>
      <c r="J157" s="28">
        <v>5216</v>
      </c>
      <c r="K157" s="69">
        <v>3.49E-2</v>
      </c>
    </row>
    <row r="158" spans="3:11" x14ac:dyDescent="0.3">
      <c r="C158" s="5" t="s">
        <v>218</v>
      </c>
      <c r="D158" s="1" t="s">
        <v>219</v>
      </c>
      <c r="E158" s="28">
        <v>18037</v>
      </c>
      <c r="F158" s="15">
        <v>-1.1999999999999999E-3</v>
      </c>
      <c r="H158" s="5" t="s">
        <v>733</v>
      </c>
      <c r="I158" s="1" t="s">
        <v>734</v>
      </c>
      <c r="J158" s="28">
        <v>5206</v>
      </c>
      <c r="K158" s="69">
        <v>3.5000000000000001E-3</v>
      </c>
    </row>
    <row r="159" spans="3:11" x14ac:dyDescent="0.3">
      <c r="C159" s="5" t="s">
        <v>196</v>
      </c>
      <c r="D159" s="1" t="s">
        <v>197</v>
      </c>
      <c r="E159" s="28">
        <v>17910</v>
      </c>
      <c r="F159" s="15">
        <v>3.5999999999999999E-3</v>
      </c>
      <c r="H159" s="5" t="s">
        <v>611</v>
      </c>
      <c r="I159" s="1" t="s">
        <v>612</v>
      </c>
      <c r="J159" s="28">
        <v>5187</v>
      </c>
      <c r="K159" s="69">
        <v>-7.4899999999999994E-2</v>
      </c>
    </row>
    <row r="160" spans="3:11" x14ac:dyDescent="0.3">
      <c r="C160" s="5" t="s">
        <v>301</v>
      </c>
      <c r="D160" s="1" t="s">
        <v>302</v>
      </c>
      <c r="E160" s="28">
        <v>17471</v>
      </c>
      <c r="F160" s="15">
        <v>2.6200000000000001E-2</v>
      </c>
      <c r="H160" s="5" t="s">
        <v>823</v>
      </c>
      <c r="I160" s="1" t="s">
        <v>824</v>
      </c>
      <c r="J160" s="28">
        <v>5187</v>
      </c>
      <c r="K160" s="69">
        <v>5.91E-2</v>
      </c>
    </row>
    <row r="161" spans="3:11" x14ac:dyDescent="0.3">
      <c r="C161" s="5" t="s">
        <v>202</v>
      </c>
      <c r="D161" s="1" t="s">
        <v>203</v>
      </c>
      <c r="E161" s="28">
        <v>17457</v>
      </c>
      <c r="F161" s="15">
        <v>0</v>
      </c>
      <c r="H161" s="5" t="s">
        <v>659</v>
      </c>
      <c r="I161" s="1" t="s">
        <v>660</v>
      </c>
      <c r="J161" s="28">
        <v>5156</v>
      </c>
      <c r="K161" s="69">
        <v>5.3E-3</v>
      </c>
    </row>
    <row r="162" spans="3:11" x14ac:dyDescent="0.3">
      <c r="C162" s="5" t="s">
        <v>229</v>
      </c>
      <c r="D162" s="1" t="s">
        <v>230</v>
      </c>
      <c r="E162" s="28">
        <v>17440</v>
      </c>
      <c r="F162" s="15">
        <v>1.5699999999999999E-2</v>
      </c>
      <c r="H162" s="5" t="s">
        <v>847</v>
      </c>
      <c r="I162" s="1" t="s">
        <v>848</v>
      </c>
      <c r="J162" s="28">
        <v>5105</v>
      </c>
      <c r="K162" s="69">
        <v>1.0699999999999999E-2</v>
      </c>
    </row>
    <row r="163" spans="3:11" x14ac:dyDescent="0.3">
      <c r="C163" s="5" t="s">
        <v>273</v>
      </c>
      <c r="D163" s="1" t="s">
        <v>274</v>
      </c>
      <c r="E163" s="28">
        <v>16682</v>
      </c>
      <c r="F163" s="15">
        <v>0</v>
      </c>
      <c r="H163" s="5" t="s">
        <v>1673</v>
      </c>
      <c r="I163" s="1" t="s">
        <v>1674</v>
      </c>
      <c r="J163" s="28">
        <v>5081</v>
      </c>
      <c r="K163" s="69">
        <v>4.0000000000000001E-3</v>
      </c>
    </row>
    <row r="164" spans="3:11" x14ac:dyDescent="0.3">
      <c r="C164" s="5" t="s">
        <v>369</v>
      </c>
      <c r="D164" s="1" t="s">
        <v>370</v>
      </c>
      <c r="E164" s="28">
        <v>16650</v>
      </c>
      <c r="F164" s="15">
        <v>9.2999999999999992E-3</v>
      </c>
      <c r="H164" s="5" t="s">
        <v>703</v>
      </c>
      <c r="I164" s="1" t="s">
        <v>704</v>
      </c>
      <c r="J164" s="28">
        <v>5068</v>
      </c>
      <c r="K164" s="69">
        <v>1.0999999999999999E-2</v>
      </c>
    </row>
    <row r="165" spans="3:11" x14ac:dyDescent="0.3">
      <c r="C165" s="5" t="s">
        <v>214</v>
      </c>
      <c r="D165" s="1" t="s">
        <v>215</v>
      </c>
      <c r="E165" s="28">
        <v>16015</v>
      </c>
      <c r="F165" s="15">
        <v>4.1000000000000003E-3</v>
      </c>
      <c r="H165" s="5" t="s">
        <v>769</v>
      </c>
      <c r="I165" s="1" t="s">
        <v>770</v>
      </c>
      <c r="J165" s="28">
        <v>4995</v>
      </c>
      <c r="K165" s="69">
        <v>1.44E-2</v>
      </c>
    </row>
    <row r="166" spans="3:11" x14ac:dyDescent="0.3">
      <c r="C166" s="5" t="s">
        <v>456</v>
      </c>
      <c r="D166" s="1" t="s">
        <v>457</v>
      </c>
      <c r="E166" s="28">
        <v>15971</v>
      </c>
      <c r="F166" s="15">
        <v>-2.06E-2</v>
      </c>
      <c r="H166" s="5" t="s">
        <v>693</v>
      </c>
      <c r="I166" s="1" t="s">
        <v>694</v>
      </c>
      <c r="J166" s="28">
        <v>4993</v>
      </c>
      <c r="K166" s="69">
        <v>-9.4999999999999998E-3</v>
      </c>
    </row>
    <row r="167" spans="3:11" x14ac:dyDescent="0.3">
      <c r="C167" s="5" t="s">
        <v>1635</v>
      </c>
      <c r="D167" s="1" t="s">
        <v>228</v>
      </c>
      <c r="E167" s="28">
        <v>15813</v>
      </c>
      <c r="F167" s="15">
        <v>0</v>
      </c>
      <c r="H167" s="5" t="s">
        <v>743</v>
      </c>
      <c r="I167" s="1" t="s">
        <v>744</v>
      </c>
      <c r="J167" s="28">
        <v>4989</v>
      </c>
      <c r="K167" s="69">
        <v>5.9499999999999997E-2</v>
      </c>
    </row>
    <row r="168" spans="3:11" x14ac:dyDescent="0.3">
      <c r="C168" s="5" t="s">
        <v>289</v>
      </c>
      <c r="D168" s="1" t="s">
        <v>290</v>
      </c>
      <c r="E168" s="28">
        <v>15607</v>
      </c>
      <c r="F168" s="15">
        <v>1.2200000000000001E-2</v>
      </c>
      <c r="H168" s="5" t="s">
        <v>641</v>
      </c>
      <c r="I168" s="1" t="s">
        <v>642</v>
      </c>
      <c r="J168" s="28">
        <v>4967</v>
      </c>
      <c r="K168" s="69">
        <v>3.7000000000000002E-3</v>
      </c>
    </row>
    <row r="169" spans="3:11" x14ac:dyDescent="0.3">
      <c r="C169" s="5" t="s">
        <v>318</v>
      </c>
      <c r="D169" s="1" t="s">
        <v>319</v>
      </c>
      <c r="E169" s="28">
        <v>15432</v>
      </c>
      <c r="F169" s="15">
        <v>0</v>
      </c>
      <c r="H169" s="5" t="s">
        <v>807</v>
      </c>
      <c r="I169" s="1" t="s">
        <v>808</v>
      </c>
      <c r="J169" s="28">
        <v>4958</v>
      </c>
      <c r="K169" s="69">
        <v>1.8E-3</v>
      </c>
    </row>
    <row r="170" spans="3:11" x14ac:dyDescent="0.3">
      <c r="C170" s="5" t="s">
        <v>287</v>
      </c>
      <c r="D170" s="1" t="s">
        <v>288</v>
      </c>
      <c r="E170" s="28">
        <v>15410</v>
      </c>
      <c r="F170" s="15">
        <v>3.8E-3</v>
      </c>
      <c r="H170" s="5" t="s">
        <v>1675</v>
      </c>
      <c r="I170" s="1" t="s">
        <v>1676</v>
      </c>
      <c r="J170" s="28">
        <v>4957</v>
      </c>
      <c r="K170" s="69">
        <v>2.9399999999999999E-2</v>
      </c>
    </row>
    <row r="171" spans="3:11" x14ac:dyDescent="0.3">
      <c r="C171" s="5" t="s">
        <v>307</v>
      </c>
      <c r="D171" s="1" t="s">
        <v>308</v>
      </c>
      <c r="E171" s="28">
        <v>14994</v>
      </c>
      <c r="F171" s="15">
        <v>2.3999999999999998E-3</v>
      </c>
      <c r="H171" s="5" t="s">
        <v>918</v>
      </c>
      <c r="I171" s="1" t="s">
        <v>919</v>
      </c>
      <c r="J171" s="28">
        <v>4925</v>
      </c>
      <c r="K171" s="69">
        <v>7.1999999999999998E-3</v>
      </c>
    </row>
    <row r="172" spans="3:11" x14ac:dyDescent="0.3">
      <c r="C172" s="5" t="s">
        <v>450</v>
      </c>
      <c r="D172" s="1" t="s">
        <v>451</v>
      </c>
      <c r="E172" s="28">
        <v>14839</v>
      </c>
      <c r="F172" s="15">
        <v>8.2000000000000007E-3</v>
      </c>
      <c r="H172" s="5" t="s">
        <v>721</v>
      </c>
      <c r="I172" s="1" t="s">
        <v>722</v>
      </c>
      <c r="J172" s="28">
        <v>4922</v>
      </c>
      <c r="K172" s="69">
        <v>1.18E-2</v>
      </c>
    </row>
    <row r="173" spans="3:11" x14ac:dyDescent="0.3">
      <c r="C173" s="5" t="s">
        <v>235</v>
      </c>
      <c r="D173" s="1" t="s">
        <v>236</v>
      </c>
      <c r="E173" s="28">
        <v>14614</v>
      </c>
      <c r="F173" s="15">
        <v>2.8999999999999998E-3</v>
      </c>
      <c r="H173" s="5" t="s">
        <v>695</v>
      </c>
      <c r="I173" s="1" t="s">
        <v>696</v>
      </c>
      <c r="J173" s="28">
        <v>4896</v>
      </c>
      <c r="K173" s="69">
        <v>0</v>
      </c>
    </row>
    <row r="174" spans="3:11" x14ac:dyDescent="0.3">
      <c r="C174" s="5" t="s">
        <v>1547</v>
      </c>
      <c r="D174" s="1" t="s">
        <v>313</v>
      </c>
      <c r="E174" s="28">
        <v>14530</v>
      </c>
      <c r="F174" s="15">
        <v>-1.4500000000000001E-2</v>
      </c>
      <c r="H174" s="5" t="s">
        <v>1029</v>
      </c>
      <c r="I174" s="1" t="s">
        <v>1030</v>
      </c>
      <c r="J174" s="28">
        <v>4884</v>
      </c>
      <c r="K174" s="69">
        <v>2.7199999999999998E-2</v>
      </c>
    </row>
    <row r="175" spans="3:11" x14ac:dyDescent="0.3">
      <c r="C175" s="5" t="s">
        <v>263</v>
      </c>
      <c r="D175" s="1" t="s">
        <v>264</v>
      </c>
      <c r="E175" s="28">
        <v>14345</v>
      </c>
      <c r="F175" s="15">
        <v>7.1999999999999998E-3</v>
      </c>
      <c r="H175" s="5" t="s">
        <v>705</v>
      </c>
      <c r="I175" s="1" t="s">
        <v>706</v>
      </c>
      <c r="J175" s="28">
        <v>4871</v>
      </c>
      <c r="K175" s="69">
        <v>2.2200000000000001E-2</v>
      </c>
    </row>
    <row r="176" spans="3:11" x14ac:dyDescent="0.3">
      <c r="C176" s="5" t="s">
        <v>241</v>
      </c>
      <c r="D176" s="1" t="s">
        <v>242</v>
      </c>
      <c r="E176" s="28">
        <v>14184</v>
      </c>
      <c r="F176" s="15">
        <v>4.0000000000000002E-4</v>
      </c>
      <c r="H176" s="5" t="s">
        <v>1558</v>
      </c>
      <c r="I176" s="1" t="s">
        <v>1559</v>
      </c>
      <c r="J176" s="28">
        <v>4816</v>
      </c>
      <c r="K176" s="69">
        <v>-1.1599999999999999E-2</v>
      </c>
    </row>
    <row r="177" spans="3:11" x14ac:dyDescent="0.3">
      <c r="C177" s="5" t="s">
        <v>293</v>
      </c>
      <c r="D177" s="1" t="s">
        <v>294</v>
      </c>
      <c r="E177" s="28">
        <v>14122</v>
      </c>
      <c r="F177" s="15">
        <v>-7.0000000000000001E-3</v>
      </c>
      <c r="H177" s="5" t="s">
        <v>709</v>
      </c>
      <c r="I177" s="1" t="s">
        <v>710</v>
      </c>
      <c r="J177" s="28">
        <v>4809</v>
      </c>
      <c r="K177" s="69">
        <v>9.9000000000000008E-3</v>
      </c>
    </row>
    <row r="178" spans="3:11" x14ac:dyDescent="0.3">
      <c r="C178" s="5" t="s">
        <v>309</v>
      </c>
      <c r="D178" s="1" t="s">
        <v>310</v>
      </c>
      <c r="E178" s="28">
        <v>14098</v>
      </c>
      <c r="F178" s="15">
        <v>7.4000000000000003E-3</v>
      </c>
      <c r="H178" s="5" t="s">
        <v>719</v>
      </c>
      <c r="I178" s="1" t="s">
        <v>720</v>
      </c>
      <c r="J178" s="28">
        <v>4807</v>
      </c>
      <c r="K178" s="69">
        <v>1.2999999999999999E-3</v>
      </c>
    </row>
    <row r="179" spans="3:11" x14ac:dyDescent="0.3">
      <c r="C179" s="5" t="s">
        <v>297</v>
      </c>
      <c r="D179" s="1" t="s">
        <v>298</v>
      </c>
      <c r="E179" s="28">
        <v>13971</v>
      </c>
      <c r="F179" s="15">
        <v>-1.1999999999999999E-3</v>
      </c>
      <c r="H179" s="5" t="s">
        <v>777</v>
      </c>
      <c r="I179" s="1" t="s">
        <v>778</v>
      </c>
      <c r="J179" s="28">
        <v>4790</v>
      </c>
      <c r="K179" s="69">
        <v>-1.6000000000000001E-3</v>
      </c>
    </row>
    <row r="180" spans="3:11" x14ac:dyDescent="0.3">
      <c r="C180" s="5" t="s">
        <v>243</v>
      </c>
      <c r="D180" s="1" t="s">
        <v>244</v>
      </c>
      <c r="E180" s="28">
        <v>13852</v>
      </c>
      <c r="F180" s="15">
        <v>-9.7999999999999997E-3</v>
      </c>
      <c r="H180" s="5" t="s">
        <v>781</v>
      </c>
      <c r="I180" s="1" t="s">
        <v>782</v>
      </c>
      <c r="J180" s="28">
        <v>4774</v>
      </c>
      <c r="K180" s="69">
        <v>1.35E-2</v>
      </c>
    </row>
    <row r="181" spans="3:11" x14ac:dyDescent="0.3">
      <c r="C181" s="5" t="s">
        <v>305</v>
      </c>
      <c r="D181" s="1" t="s">
        <v>306</v>
      </c>
      <c r="E181" s="28">
        <v>13111</v>
      </c>
      <c r="F181" s="15">
        <v>3.5000000000000001E-3</v>
      </c>
      <c r="H181" s="5" t="s">
        <v>701</v>
      </c>
      <c r="I181" s="1" t="s">
        <v>702</v>
      </c>
      <c r="J181" s="28">
        <v>4759</v>
      </c>
      <c r="K181" s="69">
        <v>0</v>
      </c>
    </row>
    <row r="182" spans="3:11" x14ac:dyDescent="0.3">
      <c r="C182" s="5" t="s">
        <v>267</v>
      </c>
      <c r="D182" s="1" t="s">
        <v>268</v>
      </c>
      <c r="E182" s="28">
        <v>12960</v>
      </c>
      <c r="F182" s="15">
        <v>-3.5000000000000001E-3</v>
      </c>
      <c r="H182" s="5" t="s">
        <v>639</v>
      </c>
      <c r="I182" s="1" t="s">
        <v>640</v>
      </c>
      <c r="J182" s="28">
        <v>4734</v>
      </c>
      <c r="K182" s="69">
        <v>4.0000000000000001E-3</v>
      </c>
    </row>
    <row r="183" spans="3:11" x14ac:dyDescent="0.3">
      <c r="C183" s="5" t="s">
        <v>454</v>
      </c>
      <c r="D183" s="1" t="s">
        <v>455</v>
      </c>
      <c r="E183" s="28">
        <v>12860</v>
      </c>
      <c r="F183" s="15">
        <v>4.8000000000000001E-2</v>
      </c>
      <c r="H183" s="5" t="s">
        <v>731</v>
      </c>
      <c r="I183" s="1" t="s">
        <v>732</v>
      </c>
      <c r="J183" s="28">
        <v>4722</v>
      </c>
      <c r="K183" s="69">
        <v>1.14E-2</v>
      </c>
    </row>
    <row r="184" spans="3:11" x14ac:dyDescent="0.3">
      <c r="C184" s="5" t="s">
        <v>356</v>
      </c>
      <c r="D184" s="1" t="s">
        <v>357</v>
      </c>
      <c r="E184" s="28">
        <v>12851</v>
      </c>
      <c r="F184" s="15">
        <v>0</v>
      </c>
      <c r="H184" s="5" t="s">
        <v>825</v>
      </c>
      <c r="I184" s="1" t="s">
        <v>826</v>
      </c>
      <c r="J184" s="28">
        <v>4698</v>
      </c>
      <c r="K184" s="69">
        <v>6.1999999999999998E-3</v>
      </c>
    </row>
    <row r="185" spans="3:11" x14ac:dyDescent="0.3">
      <c r="C185" s="5" t="s">
        <v>283</v>
      </c>
      <c r="D185" s="1" t="s">
        <v>284</v>
      </c>
      <c r="E185" s="28">
        <v>12548</v>
      </c>
      <c r="F185" s="15">
        <v>1.4E-2</v>
      </c>
      <c r="H185" s="5" t="s">
        <v>739</v>
      </c>
      <c r="I185" s="1" t="s">
        <v>740</v>
      </c>
      <c r="J185" s="28">
        <v>4691</v>
      </c>
      <c r="K185" s="69">
        <v>0</v>
      </c>
    </row>
    <row r="186" spans="3:11" x14ac:dyDescent="0.3">
      <c r="C186" s="5" t="s">
        <v>330</v>
      </c>
      <c r="D186" s="1" t="s">
        <v>331</v>
      </c>
      <c r="E186" s="28">
        <v>12460</v>
      </c>
      <c r="F186" s="15">
        <v>1.29E-2</v>
      </c>
      <c r="H186" s="5" t="s">
        <v>593</v>
      </c>
      <c r="I186" s="1" t="s">
        <v>594</v>
      </c>
      <c r="J186" s="28">
        <v>4645</v>
      </c>
      <c r="K186" s="69">
        <v>1.4E-2</v>
      </c>
    </row>
    <row r="187" spans="3:11" x14ac:dyDescent="0.3">
      <c r="C187" s="5" t="s">
        <v>464</v>
      </c>
      <c r="D187" s="1" t="s">
        <v>465</v>
      </c>
      <c r="E187" s="28">
        <v>12425</v>
      </c>
      <c r="F187" s="15">
        <v>7.0000000000000001E-3</v>
      </c>
      <c r="H187" s="5" t="s">
        <v>663</v>
      </c>
      <c r="I187" s="1" t="s">
        <v>664</v>
      </c>
      <c r="J187" s="28">
        <v>4638</v>
      </c>
      <c r="K187" s="69">
        <v>0</v>
      </c>
    </row>
    <row r="188" spans="3:11" x14ac:dyDescent="0.3">
      <c r="C188" s="5" t="s">
        <v>1636</v>
      </c>
      <c r="D188" s="1" t="s">
        <v>131</v>
      </c>
      <c r="E188" s="28">
        <v>12399</v>
      </c>
      <c r="F188" s="15">
        <v>2.9499999999999998E-2</v>
      </c>
      <c r="H188" s="5" t="s">
        <v>861</v>
      </c>
      <c r="I188" s="1" t="s">
        <v>862</v>
      </c>
      <c r="J188" s="28">
        <v>4633</v>
      </c>
      <c r="K188" s="69">
        <v>-1.21E-2</v>
      </c>
    </row>
    <row r="189" spans="3:11" x14ac:dyDescent="0.3">
      <c r="C189" s="5" t="s">
        <v>316</v>
      </c>
      <c r="D189" s="1" t="s">
        <v>317</v>
      </c>
      <c r="E189" s="28">
        <v>12371</v>
      </c>
      <c r="F189" s="15">
        <v>-1.8700000000000001E-2</v>
      </c>
      <c r="H189" s="5" t="s">
        <v>1556</v>
      </c>
      <c r="I189" s="1" t="s">
        <v>1557</v>
      </c>
      <c r="J189" s="28">
        <v>4626</v>
      </c>
      <c r="K189" s="69">
        <v>-6.2399999999999997E-2</v>
      </c>
    </row>
    <row r="190" spans="3:11" x14ac:dyDescent="0.3">
      <c r="C190" s="5" t="s">
        <v>476</v>
      </c>
      <c r="D190" s="1" t="s">
        <v>477</v>
      </c>
      <c r="E190" s="28">
        <v>12360</v>
      </c>
      <c r="F190" s="15">
        <v>1.4800000000000001E-2</v>
      </c>
      <c r="H190" s="5" t="s">
        <v>910</v>
      </c>
      <c r="I190" s="1" t="s">
        <v>911</v>
      </c>
      <c r="J190" s="28">
        <v>4612</v>
      </c>
      <c r="K190" s="69">
        <v>-2E-3</v>
      </c>
    </row>
    <row r="191" spans="3:11" x14ac:dyDescent="0.3">
      <c r="C191" s="5" t="s">
        <v>224</v>
      </c>
      <c r="D191" s="1" t="s">
        <v>225</v>
      </c>
      <c r="E191" s="28">
        <v>12303</v>
      </c>
      <c r="F191" s="15">
        <v>-2.0999999999999999E-3</v>
      </c>
      <c r="H191" s="5" t="s">
        <v>799</v>
      </c>
      <c r="I191" s="1" t="s">
        <v>800</v>
      </c>
      <c r="J191" s="28">
        <v>4609</v>
      </c>
      <c r="K191" s="69">
        <v>1.7600000000000001E-2</v>
      </c>
    </row>
    <row r="192" spans="3:11" x14ac:dyDescent="0.3">
      <c r="C192" s="5" t="s">
        <v>295</v>
      </c>
      <c r="D192" s="1" t="s">
        <v>296</v>
      </c>
      <c r="E192" s="28">
        <v>12200</v>
      </c>
      <c r="F192" s="15">
        <v>1.84E-2</v>
      </c>
      <c r="H192" s="5" t="s">
        <v>857</v>
      </c>
      <c r="I192" s="1" t="s">
        <v>858</v>
      </c>
      <c r="J192" s="28">
        <v>4592</v>
      </c>
      <c r="K192" s="69">
        <v>-1.55E-2</v>
      </c>
    </row>
    <row r="193" spans="3:11" x14ac:dyDescent="0.3">
      <c r="C193" s="5" t="s">
        <v>275</v>
      </c>
      <c r="D193" s="1" t="s">
        <v>276</v>
      </c>
      <c r="E193" s="28">
        <v>12160</v>
      </c>
      <c r="F193" s="15">
        <v>-8.2000000000000007E-3</v>
      </c>
      <c r="H193" s="5" t="s">
        <v>1554</v>
      </c>
      <c r="I193" s="1" t="s">
        <v>1555</v>
      </c>
      <c r="J193" s="28">
        <v>4579</v>
      </c>
      <c r="K193" s="69">
        <v>-1.01E-2</v>
      </c>
    </row>
    <row r="194" spans="3:11" x14ac:dyDescent="0.3">
      <c r="C194" s="5" t="s">
        <v>255</v>
      </c>
      <c r="D194" s="1" t="s">
        <v>256</v>
      </c>
      <c r="E194" s="28">
        <v>11998</v>
      </c>
      <c r="F194" s="15">
        <v>3.0999999999999999E-3</v>
      </c>
      <c r="H194" s="5" t="s">
        <v>711</v>
      </c>
      <c r="I194" s="1" t="s">
        <v>712</v>
      </c>
      <c r="J194" s="28">
        <v>4541</v>
      </c>
      <c r="K194" s="69">
        <v>1.4E-2</v>
      </c>
    </row>
    <row r="195" spans="3:11" x14ac:dyDescent="0.3">
      <c r="C195" s="5" t="s">
        <v>350</v>
      </c>
      <c r="D195" s="1" t="s">
        <v>351</v>
      </c>
      <c r="E195" s="28">
        <v>11980</v>
      </c>
      <c r="F195" s="15">
        <v>-3.0999999999999999E-3</v>
      </c>
      <c r="H195" s="5" t="s">
        <v>1677</v>
      </c>
      <c r="I195" s="1" t="s">
        <v>1678</v>
      </c>
      <c r="J195" s="28">
        <v>4528</v>
      </c>
      <c r="K195" s="69">
        <v>5.5899999999999998E-2</v>
      </c>
    </row>
    <row r="196" spans="3:11" x14ac:dyDescent="0.3">
      <c r="C196" s="5" t="s">
        <v>390</v>
      </c>
      <c r="D196" s="1" t="s">
        <v>391</v>
      </c>
      <c r="E196" s="28">
        <v>11954</v>
      </c>
      <c r="F196" s="15">
        <v>6.9000000000000006E-2</v>
      </c>
      <c r="H196" s="5" t="s">
        <v>1679</v>
      </c>
      <c r="I196" s="1" t="s">
        <v>1680</v>
      </c>
      <c r="J196" s="28">
        <v>4455</v>
      </c>
      <c r="K196" s="69">
        <v>9.4999999999999998E-3</v>
      </c>
    </row>
    <row r="197" spans="3:11" x14ac:dyDescent="0.3">
      <c r="C197" s="5" t="s">
        <v>338</v>
      </c>
      <c r="D197" s="1" t="s">
        <v>339</v>
      </c>
      <c r="E197" s="28">
        <v>11867</v>
      </c>
      <c r="F197" s="15">
        <v>3.8E-3</v>
      </c>
      <c r="H197" s="5" t="s">
        <v>793</v>
      </c>
      <c r="I197" s="1" t="s">
        <v>794</v>
      </c>
      <c r="J197" s="28">
        <v>4432</v>
      </c>
      <c r="K197" s="69">
        <v>1.7999999999999999E-2</v>
      </c>
    </row>
    <row r="198" spans="3:11" x14ac:dyDescent="0.3">
      <c r="C198" s="5" t="s">
        <v>285</v>
      </c>
      <c r="D198" s="1" t="s">
        <v>286</v>
      </c>
      <c r="E198" s="28">
        <v>11607</v>
      </c>
      <c r="F198" s="15">
        <v>-1.2699999999999999E-2</v>
      </c>
      <c r="H198" s="5" t="s">
        <v>751</v>
      </c>
      <c r="I198" s="1" t="s">
        <v>752</v>
      </c>
      <c r="J198" s="28">
        <v>4430</v>
      </c>
      <c r="K198" s="69">
        <v>1.1000000000000001E-3</v>
      </c>
    </row>
    <row r="199" spans="3:11" x14ac:dyDescent="0.3">
      <c r="C199" s="5" t="s">
        <v>281</v>
      </c>
      <c r="D199" s="1" t="s">
        <v>282</v>
      </c>
      <c r="E199" s="28">
        <v>11499</v>
      </c>
      <c r="F199" s="15">
        <v>-3.6700000000000003E-2</v>
      </c>
      <c r="H199" s="5" t="s">
        <v>1681</v>
      </c>
      <c r="I199" s="1" t="s">
        <v>1682</v>
      </c>
      <c r="J199" s="28">
        <v>4411</v>
      </c>
      <c r="K199" s="69">
        <v>-2E-3</v>
      </c>
    </row>
    <row r="200" spans="3:11" x14ac:dyDescent="0.3">
      <c r="C200" s="5" t="s">
        <v>1637</v>
      </c>
      <c r="D200" s="1" t="s">
        <v>1638</v>
      </c>
      <c r="E200" s="28">
        <v>11449</v>
      </c>
      <c r="F200" s="15">
        <v>1.43E-2</v>
      </c>
      <c r="H200" s="5" t="s">
        <v>595</v>
      </c>
      <c r="I200" s="1" t="s">
        <v>596</v>
      </c>
      <c r="J200" s="28">
        <v>4392</v>
      </c>
      <c r="K200" s="69">
        <v>-1.5800000000000002E-2</v>
      </c>
    </row>
    <row r="201" spans="3:11" x14ac:dyDescent="0.3">
      <c r="C201" s="5" t="s">
        <v>311</v>
      </c>
      <c r="D201" s="1" t="s">
        <v>312</v>
      </c>
      <c r="E201" s="28">
        <v>11447</v>
      </c>
      <c r="F201" s="15">
        <v>1.4E-2</v>
      </c>
      <c r="H201" s="5" t="s">
        <v>689</v>
      </c>
      <c r="I201" s="1" t="s">
        <v>690</v>
      </c>
      <c r="J201" s="28">
        <v>4263</v>
      </c>
      <c r="K201" s="69">
        <v>2.2000000000000001E-3</v>
      </c>
    </row>
    <row r="202" spans="3:11" x14ac:dyDescent="0.3">
      <c r="C202" s="5" t="s">
        <v>438</v>
      </c>
      <c r="D202" s="1" t="s">
        <v>439</v>
      </c>
      <c r="E202" s="28">
        <v>11434</v>
      </c>
      <c r="F202" s="15">
        <v>-1.6999999999999999E-3</v>
      </c>
      <c r="H202" s="5" t="s">
        <v>827</v>
      </c>
      <c r="I202" s="1" t="s">
        <v>828</v>
      </c>
      <c r="J202" s="28">
        <v>4263</v>
      </c>
      <c r="K202" s="69">
        <v>-1.6500000000000001E-2</v>
      </c>
    </row>
    <row r="203" spans="3:11" x14ac:dyDescent="0.3">
      <c r="C203" s="5" t="s">
        <v>328</v>
      </c>
      <c r="D203" s="1" t="s">
        <v>329</v>
      </c>
      <c r="E203" s="28">
        <v>11292</v>
      </c>
      <c r="F203" s="15">
        <v>1.66E-2</v>
      </c>
      <c r="H203" s="5" t="s">
        <v>655</v>
      </c>
      <c r="I203" s="1" t="s">
        <v>656</v>
      </c>
      <c r="J203" s="28">
        <v>4247</v>
      </c>
      <c r="K203" s="69">
        <v>-8.8000000000000005E-3</v>
      </c>
    </row>
    <row r="204" spans="3:11" x14ac:dyDescent="0.3">
      <c r="C204" s="5" t="s">
        <v>402</v>
      </c>
      <c r="D204" s="1" t="s">
        <v>403</v>
      </c>
      <c r="E204" s="28">
        <v>11219</v>
      </c>
      <c r="F204" s="15">
        <v>0</v>
      </c>
      <c r="H204" s="5" t="s">
        <v>749</v>
      </c>
      <c r="I204" s="1" t="s">
        <v>750</v>
      </c>
      <c r="J204" s="28">
        <v>4237</v>
      </c>
      <c r="K204" s="69">
        <v>1.18E-2</v>
      </c>
    </row>
    <row r="205" spans="3:11" x14ac:dyDescent="0.3">
      <c r="C205" s="5" t="s">
        <v>1066</v>
      </c>
      <c r="D205" s="1" t="s">
        <v>1067</v>
      </c>
      <c r="E205" s="28">
        <v>11158</v>
      </c>
      <c r="F205" s="15">
        <v>1.5299999999999999E-2</v>
      </c>
      <c r="H205" s="5" t="s">
        <v>775</v>
      </c>
      <c r="I205" s="1" t="s">
        <v>776</v>
      </c>
      <c r="J205" s="28">
        <v>4229</v>
      </c>
      <c r="K205" s="69">
        <v>-1.1999999999999999E-3</v>
      </c>
    </row>
    <row r="206" spans="3:11" x14ac:dyDescent="0.3">
      <c r="C206" s="5" t="s">
        <v>400</v>
      </c>
      <c r="D206" s="1" t="s">
        <v>401</v>
      </c>
      <c r="E206" s="28">
        <v>11128</v>
      </c>
      <c r="F206" s="15">
        <v>-2.3E-3</v>
      </c>
      <c r="H206" s="5" t="s">
        <v>1616</v>
      </c>
      <c r="I206" s="1" t="s">
        <v>1617</v>
      </c>
      <c r="J206" s="28">
        <v>4228</v>
      </c>
      <c r="K206" s="69">
        <v>2.3300000000000001E-2</v>
      </c>
    </row>
    <row r="207" spans="3:11" x14ac:dyDescent="0.3">
      <c r="C207" s="5" t="s">
        <v>1639</v>
      </c>
      <c r="D207" s="1" t="s">
        <v>1640</v>
      </c>
      <c r="E207" s="28">
        <v>11021</v>
      </c>
      <c r="F207" s="15">
        <v>2.2000000000000001E-3</v>
      </c>
      <c r="H207" s="5" t="s">
        <v>867</v>
      </c>
      <c r="I207" s="1" t="s">
        <v>868</v>
      </c>
      <c r="J207" s="28">
        <v>4228</v>
      </c>
      <c r="K207" s="69">
        <v>1.04E-2</v>
      </c>
    </row>
    <row r="208" spans="3:11" x14ac:dyDescent="0.3">
      <c r="C208" s="5" t="s">
        <v>1521</v>
      </c>
      <c r="D208" s="1" t="s">
        <v>1522</v>
      </c>
      <c r="E208" s="28">
        <v>10929</v>
      </c>
      <c r="F208" s="15">
        <v>2.1000000000000001E-2</v>
      </c>
      <c r="H208" s="5" t="s">
        <v>715</v>
      </c>
      <c r="I208" s="1" t="s">
        <v>716</v>
      </c>
      <c r="J208" s="28">
        <v>4212</v>
      </c>
      <c r="K208" s="69">
        <v>2.5000000000000001E-3</v>
      </c>
    </row>
    <row r="209" spans="3:11" x14ac:dyDescent="0.3">
      <c r="C209" s="5" t="s">
        <v>362</v>
      </c>
      <c r="D209" s="1" t="s">
        <v>363</v>
      </c>
      <c r="E209" s="28">
        <v>10794</v>
      </c>
      <c r="F209" s="15">
        <v>8.6999999999999994E-3</v>
      </c>
      <c r="H209" s="5" t="s">
        <v>865</v>
      </c>
      <c r="I209" s="1" t="s">
        <v>866</v>
      </c>
      <c r="J209" s="28">
        <v>4189</v>
      </c>
      <c r="K209" s="69">
        <v>2.5499999999999998E-2</v>
      </c>
    </row>
    <row r="210" spans="3:11" x14ac:dyDescent="0.3">
      <c r="C210" s="5" t="s">
        <v>320</v>
      </c>
      <c r="D210" s="1" t="s">
        <v>321</v>
      </c>
      <c r="E210" s="28">
        <v>10769</v>
      </c>
      <c r="F210" s="15">
        <v>2.12E-2</v>
      </c>
      <c r="H210" s="5" t="s">
        <v>1683</v>
      </c>
      <c r="I210" s="1" t="s">
        <v>1684</v>
      </c>
      <c r="J210" s="28">
        <v>4182</v>
      </c>
      <c r="K210" s="69">
        <v>-1.8800000000000001E-2</v>
      </c>
    </row>
    <row r="211" spans="3:11" x14ac:dyDescent="0.3">
      <c r="C211" s="5" t="s">
        <v>271</v>
      </c>
      <c r="D211" s="1" t="s">
        <v>272</v>
      </c>
      <c r="E211" s="28">
        <v>10602</v>
      </c>
      <c r="F211" s="15">
        <v>1.0500000000000001E-2</v>
      </c>
      <c r="H211" s="5" t="s">
        <v>1068</v>
      </c>
      <c r="I211" s="1" t="s">
        <v>1069</v>
      </c>
      <c r="J211" s="28">
        <v>4153</v>
      </c>
      <c r="K211" s="69">
        <v>1.0800000000000001E-2</v>
      </c>
    </row>
    <row r="212" spans="3:11" x14ac:dyDescent="0.3">
      <c r="C212" s="5" t="s">
        <v>380</v>
      </c>
      <c r="D212" s="1" t="s">
        <v>381</v>
      </c>
      <c r="E212" s="28">
        <v>10388</v>
      </c>
      <c r="F212" s="15">
        <v>8.6E-3</v>
      </c>
      <c r="H212" s="5" t="s">
        <v>833</v>
      </c>
      <c r="I212" s="1" t="s">
        <v>834</v>
      </c>
      <c r="J212" s="28">
        <v>4153</v>
      </c>
      <c r="K212" s="69">
        <v>1.4E-3</v>
      </c>
    </row>
    <row r="213" spans="3:11" x14ac:dyDescent="0.3">
      <c r="C213" s="5" t="s">
        <v>326</v>
      </c>
      <c r="D213" s="1" t="s">
        <v>327</v>
      </c>
      <c r="E213" s="28">
        <v>10376</v>
      </c>
      <c r="F213" s="15">
        <v>-6.8999999999999999E-3</v>
      </c>
      <c r="H213" s="5" t="s">
        <v>841</v>
      </c>
      <c r="I213" s="1" t="s">
        <v>842</v>
      </c>
      <c r="J213" s="28">
        <v>4139</v>
      </c>
      <c r="K213" s="69">
        <v>3.1399999999999997E-2</v>
      </c>
    </row>
    <row r="214" spans="3:11" x14ac:dyDescent="0.3">
      <c r="C214" s="5" t="s">
        <v>384</v>
      </c>
      <c r="D214" s="1" t="s">
        <v>385</v>
      </c>
      <c r="E214" s="28">
        <v>10308</v>
      </c>
      <c r="F214" s="15">
        <v>-9.4000000000000004E-3</v>
      </c>
      <c r="H214" s="5" t="s">
        <v>699</v>
      </c>
      <c r="I214" s="1" t="s">
        <v>700</v>
      </c>
      <c r="J214" s="28">
        <v>4123</v>
      </c>
      <c r="K214" s="69">
        <v>4.4999999999999997E-3</v>
      </c>
    </row>
    <row r="215" spans="3:11" x14ac:dyDescent="0.3">
      <c r="C215" s="5" t="s">
        <v>340</v>
      </c>
      <c r="D215" s="1" t="s">
        <v>341</v>
      </c>
      <c r="E215" s="28">
        <v>10172</v>
      </c>
      <c r="F215" s="15">
        <v>3.0000000000000001E-3</v>
      </c>
      <c r="H215" s="5" t="s">
        <v>757</v>
      </c>
      <c r="I215" s="1" t="s">
        <v>758</v>
      </c>
      <c r="J215" s="28">
        <v>4122</v>
      </c>
      <c r="K215" s="69">
        <v>-2.1600000000000001E-2</v>
      </c>
    </row>
    <row r="216" spans="3:11" x14ac:dyDescent="0.3">
      <c r="C216" s="5" t="s">
        <v>428</v>
      </c>
      <c r="D216" s="1" t="s">
        <v>429</v>
      </c>
      <c r="E216" s="28">
        <v>10164</v>
      </c>
      <c r="F216" s="15">
        <v>9.4999999999999998E-3</v>
      </c>
      <c r="H216" s="5" t="s">
        <v>1685</v>
      </c>
      <c r="I216" s="1" t="s">
        <v>1686</v>
      </c>
      <c r="J216" s="28">
        <v>4078</v>
      </c>
      <c r="K216" s="69">
        <v>7.7000000000000002E-3</v>
      </c>
    </row>
    <row r="217" spans="3:11" x14ac:dyDescent="0.3">
      <c r="C217" s="5" t="s">
        <v>1505</v>
      </c>
      <c r="D217" s="1" t="s">
        <v>1506</v>
      </c>
      <c r="E217" s="28">
        <v>10102</v>
      </c>
      <c r="F217" s="15">
        <v>-1.9699999999999999E-2</v>
      </c>
      <c r="H217" s="5" t="s">
        <v>1687</v>
      </c>
      <c r="I217" s="1" t="s">
        <v>1688</v>
      </c>
      <c r="J217" s="28">
        <v>4076</v>
      </c>
      <c r="K217" s="69">
        <v>2.4500000000000001E-2</v>
      </c>
    </row>
    <row r="218" spans="3:11" x14ac:dyDescent="0.3">
      <c r="C218" s="5" t="s">
        <v>394</v>
      </c>
      <c r="D218" s="1" t="s">
        <v>395</v>
      </c>
      <c r="E218" s="28">
        <v>10039</v>
      </c>
      <c r="F218" s="15">
        <v>-1.55E-2</v>
      </c>
      <c r="H218" s="5" t="s">
        <v>1689</v>
      </c>
      <c r="I218" s="1" t="s">
        <v>1690</v>
      </c>
      <c r="J218" s="28">
        <v>4039</v>
      </c>
      <c r="K218" s="69">
        <v>-7.7000000000000002E-3</v>
      </c>
    </row>
    <row r="219" spans="3:11" x14ac:dyDescent="0.3">
      <c r="C219" s="5" t="s">
        <v>374</v>
      </c>
      <c r="D219" s="1" t="s">
        <v>375</v>
      </c>
      <c r="E219" s="28">
        <v>9966</v>
      </c>
      <c r="F219" s="15">
        <v>-9.1000000000000004E-3</v>
      </c>
      <c r="H219" s="5" t="s">
        <v>789</v>
      </c>
      <c r="I219" s="1" t="s">
        <v>790</v>
      </c>
      <c r="J219" s="28">
        <v>4031</v>
      </c>
      <c r="K219" s="69">
        <v>-2.8999999999999998E-3</v>
      </c>
    </row>
    <row r="220" spans="3:11" x14ac:dyDescent="0.3">
      <c r="C220" s="5" t="s">
        <v>388</v>
      </c>
      <c r="D220" s="1" t="s">
        <v>389</v>
      </c>
      <c r="E220" s="28">
        <v>9963</v>
      </c>
      <c r="F220" s="15">
        <v>-6.1000000000000004E-3</v>
      </c>
      <c r="H220" s="5" t="s">
        <v>773</v>
      </c>
      <c r="I220" s="1" t="s">
        <v>774</v>
      </c>
      <c r="J220" s="28">
        <v>4005</v>
      </c>
      <c r="K220" s="69">
        <v>6.7999999999999996E-3</v>
      </c>
    </row>
    <row r="221" spans="3:11" x14ac:dyDescent="0.3">
      <c r="C221" s="5" t="s">
        <v>352</v>
      </c>
      <c r="D221" s="1" t="s">
        <v>353</v>
      </c>
      <c r="E221" s="28">
        <v>9955</v>
      </c>
      <c r="F221" s="15">
        <v>1.9E-2</v>
      </c>
      <c r="H221" s="5" t="s">
        <v>1564</v>
      </c>
      <c r="I221" s="1" t="s">
        <v>1565</v>
      </c>
      <c r="J221" s="28">
        <v>4003</v>
      </c>
      <c r="K221" s="69">
        <v>-8.0999999999999996E-3</v>
      </c>
    </row>
    <row r="222" spans="3:11" x14ac:dyDescent="0.3">
      <c r="C222" s="5" t="s">
        <v>324</v>
      </c>
      <c r="D222" s="1" t="s">
        <v>325</v>
      </c>
      <c r="E222" s="28">
        <v>9951</v>
      </c>
      <c r="F222" s="15">
        <v>1E-4</v>
      </c>
      <c r="H222" s="5" t="s">
        <v>849</v>
      </c>
      <c r="I222" s="1" t="s">
        <v>850</v>
      </c>
      <c r="J222" s="28">
        <v>3980</v>
      </c>
      <c r="K222" s="69">
        <v>2.5000000000000001E-2</v>
      </c>
    </row>
    <row r="223" spans="3:11" x14ac:dyDescent="0.3">
      <c r="C223" s="5" t="s">
        <v>406</v>
      </c>
      <c r="D223" s="1" t="s">
        <v>407</v>
      </c>
      <c r="E223" s="28">
        <v>9886</v>
      </c>
      <c r="F223" s="15">
        <v>7.1999999999999998E-3</v>
      </c>
      <c r="H223" s="5" t="s">
        <v>713</v>
      </c>
      <c r="I223" s="1" t="s">
        <v>714</v>
      </c>
      <c r="J223" s="28">
        <v>3943</v>
      </c>
      <c r="K223" s="69">
        <v>0.01</v>
      </c>
    </row>
    <row r="224" spans="3:11" x14ac:dyDescent="0.3">
      <c r="C224" s="5" t="s">
        <v>344</v>
      </c>
      <c r="D224" s="1" t="s">
        <v>345</v>
      </c>
      <c r="E224" s="28">
        <v>9882</v>
      </c>
      <c r="F224" s="15">
        <v>8.2000000000000007E-3</v>
      </c>
      <c r="H224" s="5" t="s">
        <v>845</v>
      </c>
      <c r="I224" s="1" t="s">
        <v>846</v>
      </c>
      <c r="J224" s="28">
        <v>3900</v>
      </c>
      <c r="K224" s="69">
        <v>5.7000000000000002E-3</v>
      </c>
    </row>
    <row r="225" spans="3:11" x14ac:dyDescent="0.3">
      <c r="C225" s="5" t="s">
        <v>458</v>
      </c>
      <c r="D225" s="1" t="s">
        <v>459</v>
      </c>
      <c r="E225" s="28">
        <v>9850</v>
      </c>
      <c r="F225" s="15">
        <v>-1.77E-2</v>
      </c>
      <c r="H225" s="5" t="s">
        <v>1612</v>
      </c>
      <c r="I225" s="1" t="s">
        <v>1613</v>
      </c>
      <c r="J225" s="28">
        <v>3895</v>
      </c>
      <c r="K225" s="69">
        <v>1.89E-2</v>
      </c>
    </row>
    <row r="226" spans="3:11" x14ac:dyDescent="0.3">
      <c r="C226" s="5" t="s">
        <v>482</v>
      </c>
      <c r="D226" s="1" t="s">
        <v>483</v>
      </c>
      <c r="E226" s="28">
        <v>9760</v>
      </c>
      <c r="F226" s="15">
        <v>-5.8999999999999999E-3</v>
      </c>
      <c r="H226" s="5" t="s">
        <v>801</v>
      </c>
      <c r="I226" s="1" t="s">
        <v>802</v>
      </c>
      <c r="J226" s="28">
        <v>3891</v>
      </c>
      <c r="K226" s="69">
        <v>0</v>
      </c>
    </row>
    <row r="227" spans="3:11" x14ac:dyDescent="0.3">
      <c r="C227" s="5" t="s">
        <v>291</v>
      </c>
      <c r="D227" s="1" t="s">
        <v>292</v>
      </c>
      <c r="E227" s="28">
        <v>9713</v>
      </c>
      <c r="F227" s="15">
        <v>-1.2200000000000001E-2</v>
      </c>
      <c r="H227" s="5" t="s">
        <v>1691</v>
      </c>
      <c r="I227" s="1" t="s">
        <v>1692</v>
      </c>
      <c r="J227" s="28">
        <v>3888</v>
      </c>
      <c r="K227" s="69">
        <v>2E-3</v>
      </c>
    </row>
    <row r="228" spans="3:11" x14ac:dyDescent="0.3">
      <c r="C228" s="5" t="s">
        <v>314</v>
      </c>
      <c r="D228" s="1" t="s">
        <v>315</v>
      </c>
      <c r="E228" s="28">
        <v>9692</v>
      </c>
      <c r="F228" s="15">
        <v>4.7999999999999996E-3</v>
      </c>
      <c r="H228" s="5" t="s">
        <v>1693</v>
      </c>
      <c r="I228" s="1" t="s">
        <v>1694</v>
      </c>
      <c r="J228" s="28">
        <v>3881</v>
      </c>
      <c r="K228" s="69">
        <v>1.3299999999999999E-2</v>
      </c>
    </row>
    <row r="229" spans="3:11" x14ac:dyDescent="0.3">
      <c r="C229" s="5" t="s">
        <v>462</v>
      </c>
      <c r="D229" s="1" t="s">
        <v>463</v>
      </c>
      <c r="E229" s="28">
        <v>9688</v>
      </c>
      <c r="F229" s="15">
        <v>-8.6E-3</v>
      </c>
      <c r="H229" s="5" t="s">
        <v>912</v>
      </c>
      <c r="I229" s="1" t="s">
        <v>913</v>
      </c>
      <c r="J229" s="28">
        <v>3830</v>
      </c>
      <c r="K229" s="69">
        <v>1.23E-2</v>
      </c>
    </row>
    <row r="230" spans="3:11" x14ac:dyDescent="0.3">
      <c r="C230" s="5" t="s">
        <v>336</v>
      </c>
      <c r="D230" s="1" t="s">
        <v>337</v>
      </c>
      <c r="E230" s="28">
        <v>9670</v>
      </c>
      <c r="F230" s="15">
        <v>-1.8200000000000001E-2</v>
      </c>
      <c r="H230" s="5" t="s">
        <v>755</v>
      </c>
      <c r="I230" s="1" t="s">
        <v>756</v>
      </c>
      <c r="J230" s="28">
        <v>3828</v>
      </c>
      <c r="K230" s="69">
        <v>-1.9E-3</v>
      </c>
    </row>
    <row r="231" spans="3:11" x14ac:dyDescent="0.3">
      <c r="C231" s="5" t="s">
        <v>1641</v>
      </c>
      <c r="D231" s="1" t="s">
        <v>371</v>
      </c>
      <c r="E231" s="28">
        <v>9622</v>
      </c>
      <c r="F231" s="15">
        <v>7.7000000000000002E-3</v>
      </c>
      <c r="H231" s="5" t="s">
        <v>851</v>
      </c>
      <c r="I231" s="1" t="s">
        <v>852</v>
      </c>
      <c r="J231" s="28">
        <v>3823</v>
      </c>
      <c r="K231" s="69">
        <v>8.2000000000000007E-3</v>
      </c>
    </row>
    <row r="232" spans="3:11" x14ac:dyDescent="0.3">
      <c r="C232" s="5" t="s">
        <v>322</v>
      </c>
      <c r="D232" s="1" t="s">
        <v>323</v>
      </c>
      <c r="E232" s="28">
        <v>9525</v>
      </c>
      <c r="F232" s="15">
        <v>8.6999999999999994E-3</v>
      </c>
      <c r="H232" s="5" t="s">
        <v>1695</v>
      </c>
      <c r="I232" s="1" t="s">
        <v>1696</v>
      </c>
      <c r="J232" s="28">
        <v>3802</v>
      </c>
      <c r="K232" s="69">
        <v>4.0000000000000001E-3</v>
      </c>
    </row>
    <row r="233" spans="3:11" x14ac:dyDescent="0.3">
      <c r="C233" s="5" t="s">
        <v>1515</v>
      </c>
      <c r="D233" s="1" t="s">
        <v>1516</v>
      </c>
      <c r="E233" s="28">
        <v>9493</v>
      </c>
      <c r="F233" s="15">
        <v>-7.7999999999999996E-3</v>
      </c>
      <c r="H233" s="5" t="s">
        <v>809</v>
      </c>
      <c r="I233" s="1" t="s">
        <v>810</v>
      </c>
      <c r="J233" s="28">
        <v>3790</v>
      </c>
      <c r="K233" s="69">
        <v>0</v>
      </c>
    </row>
    <row r="234" spans="3:11" x14ac:dyDescent="0.3">
      <c r="C234" s="5" t="s">
        <v>360</v>
      </c>
      <c r="D234" s="1" t="s">
        <v>361</v>
      </c>
      <c r="E234" s="28">
        <v>9341</v>
      </c>
      <c r="F234" s="15">
        <v>-8.6E-3</v>
      </c>
      <c r="H234" s="5" t="s">
        <v>1697</v>
      </c>
      <c r="I234" s="1" t="s">
        <v>1698</v>
      </c>
      <c r="J234" s="28">
        <v>3752</v>
      </c>
      <c r="K234" s="69">
        <v>0</v>
      </c>
    </row>
    <row r="235" spans="3:11" x14ac:dyDescent="0.3">
      <c r="C235" s="5" t="s">
        <v>334</v>
      </c>
      <c r="D235" s="1" t="s">
        <v>335</v>
      </c>
      <c r="E235" s="28">
        <v>9324</v>
      </c>
      <c r="F235" s="15">
        <v>0</v>
      </c>
      <c r="H235" s="5" t="s">
        <v>1699</v>
      </c>
      <c r="I235" s="1" t="s">
        <v>1700</v>
      </c>
      <c r="J235" s="28">
        <v>3741</v>
      </c>
      <c r="K235" s="69">
        <v>0</v>
      </c>
    </row>
    <row r="236" spans="3:11" x14ac:dyDescent="0.3">
      <c r="C236" s="5" t="s">
        <v>279</v>
      </c>
      <c r="D236" s="1" t="s">
        <v>280</v>
      </c>
      <c r="E236" s="28">
        <v>9078</v>
      </c>
      <c r="F236" s="15">
        <v>1E-4</v>
      </c>
      <c r="H236" s="5" t="s">
        <v>1701</v>
      </c>
      <c r="I236" s="1" t="s">
        <v>1702</v>
      </c>
      <c r="J236" s="28">
        <v>3689</v>
      </c>
      <c r="K236" s="69">
        <v>5.7999999999999996E-3</v>
      </c>
    </row>
    <row r="237" spans="3:11" x14ac:dyDescent="0.3">
      <c r="C237" s="5" t="s">
        <v>382</v>
      </c>
      <c r="D237" s="1" t="s">
        <v>383</v>
      </c>
      <c r="E237" s="28">
        <v>9024</v>
      </c>
      <c r="F237" s="15">
        <v>-1.6000000000000001E-3</v>
      </c>
      <c r="H237" s="5" t="s">
        <v>753</v>
      </c>
      <c r="I237" s="1" t="s">
        <v>754</v>
      </c>
      <c r="J237" s="28">
        <v>3681</v>
      </c>
      <c r="K237" s="69">
        <v>0</v>
      </c>
    </row>
    <row r="238" spans="3:11" x14ac:dyDescent="0.3">
      <c r="C238" s="5" t="s">
        <v>376</v>
      </c>
      <c r="D238" s="1" t="s">
        <v>377</v>
      </c>
      <c r="E238" s="28">
        <v>9006</v>
      </c>
      <c r="F238" s="15">
        <v>5.3E-3</v>
      </c>
      <c r="H238" s="5" t="s">
        <v>759</v>
      </c>
      <c r="I238" s="1" t="s">
        <v>760</v>
      </c>
      <c r="J238" s="28">
        <v>3665</v>
      </c>
      <c r="K238" s="69">
        <v>2.3199999999999998E-2</v>
      </c>
    </row>
    <row r="239" spans="3:11" x14ac:dyDescent="0.3">
      <c r="C239" s="5" t="s">
        <v>354</v>
      </c>
      <c r="D239" s="1" t="s">
        <v>355</v>
      </c>
      <c r="E239" s="28">
        <v>8958</v>
      </c>
      <c r="F239" s="15">
        <v>1.06E-2</v>
      </c>
      <c r="H239" s="5" t="s">
        <v>837</v>
      </c>
      <c r="I239" s="1" t="s">
        <v>838</v>
      </c>
      <c r="J239" s="28">
        <v>3665</v>
      </c>
      <c r="K239" s="69">
        <v>-1.5699999999999999E-2</v>
      </c>
    </row>
    <row r="240" spans="3:11" x14ac:dyDescent="0.3">
      <c r="C240" s="5" t="s">
        <v>1610</v>
      </c>
      <c r="D240" s="1" t="s">
        <v>1611</v>
      </c>
      <c r="E240" s="28">
        <v>8916</v>
      </c>
      <c r="F240" s="15">
        <v>-2.2700000000000001E-2</v>
      </c>
      <c r="H240" s="5" t="s">
        <v>1703</v>
      </c>
      <c r="I240" s="1" t="s">
        <v>1704</v>
      </c>
      <c r="J240" s="28">
        <v>3657</v>
      </c>
      <c r="K240" s="69">
        <v>1.37E-2</v>
      </c>
    </row>
    <row r="241" spans="3:11" x14ac:dyDescent="0.3">
      <c r="C241" s="5" t="s">
        <v>332</v>
      </c>
      <c r="D241" s="1" t="s">
        <v>333</v>
      </c>
      <c r="E241" s="28">
        <v>8874</v>
      </c>
      <c r="F241" s="15">
        <v>1.18E-2</v>
      </c>
      <c r="H241" s="5" t="s">
        <v>853</v>
      </c>
      <c r="I241" s="1" t="s">
        <v>854</v>
      </c>
      <c r="J241" s="28">
        <v>3652</v>
      </c>
      <c r="K241" s="69">
        <v>1.23E-2</v>
      </c>
    </row>
    <row r="242" spans="3:11" x14ac:dyDescent="0.3">
      <c r="C242" s="5" t="s">
        <v>342</v>
      </c>
      <c r="D242" s="1" t="s">
        <v>343</v>
      </c>
      <c r="E242" s="28">
        <v>8853</v>
      </c>
      <c r="F242" s="15">
        <v>5.8999999999999999E-3</v>
      </c>
      <c r="H242" s="5" t="s">
        <v>735</v>
      </c>
      <c r="I242" s="1" t="s">
        <v>736</v>
      </c>
      <c r="J242" s="28">
        <v>3634</v>
      </c>
      <c r="K242" s="69">
        <v>-3.8999999999999998E-3</v>
      </c>
    </row>
    <row r="243" spans="3:11" x14ac:dyDescent="0.3">
      <c r="C243" s="5" t="s">
        <v>1594</v>
      </c>
      <c r="D243" s="1" t="s">
        <v>1595</v>
      </c>
      <c r="E243" s="28">
        <v>8828</v>
      </c>
      <c r="F243" s="15">
        <v>1.8599999999999998E-2</v>
      </c>
      <c r="H243" s="5" t="s">
        <v>745</v>
      </c>
      <c r="I243" s="1" t="s">
        <v>746</v>
      </c>
      <c r="J243" s="28">
        <v>3623</v>
      </c>
      <c r="K243" s="69">
        <v>-1.6000000000000001E-3</v>
      </c>
    </row>
    <row r="244" spans="3:11" x14ac:dyDescent="0.3">
      <c r="C244" s="5" t="s">
        <v>358</v>
      </c>
      <c r="D244" s="1" t="s">
        <v>359</v>
      </c>
      <c r="E244" s="28">
        <v>8820</v>
      </c>
      <c r="F244" s="15">
        <v>-1.12E-2</v>
      </c>
      <c r="H244" s="5" t="s">
        <v>763</v>
      </c>
      <c r="I244" s="1" t="s">
        <v>764</v>
      </c>
      <c r="J244" s="28">
        <v>3588</v>
      </c>
      <c r="K244" s="69">
        <v>4.1999999999999997E-3</v>
      </c>
    </row>
    <row r="245" spans="3:11" x14ac:dyDescent="0.3">
      <c r="C245" s="5" t="s">
        <v>446</v>
      </c>
      <c r="D245" s="1" t="s">
        <v>447</v>
      </c>
      <c r="E245" s="28">
        <v>8721</v>
      </c>
      <c r="F245" s="15">
        <v>-6.0000000000000001E-3</v>
      </c>
      <c r="H245" s="5" t="s">
        <v>831</v>
      </c>
      <c r="I245" s="1" t="s">
        <v>832</v>
      </c>
      <c r="J245" s="28">
        <v>3555</v>
      </c>
      <c r="K245" s="69">
        <v>-4.1999999999999997E-3</v>
      </c>
    </row>
    <row r="246" spans="3:11" x14ac:dyDescent="0.3">
      <c r="C246" s="5" t="s">
        <v>1016</v>
      </c>
      <c r="D246" s="1" t="s">
        <v>1017</v>
      </c>
      <c r="E246" s="28">
        <v>8623</v>
      </c>
      <c r="F246" s="15">
        <v>2.47E-2</v>
      </c>
      <c r="H246" s="5" t="s">
        <v>1018</v>
      </c>
      <c r="I246" s="1" t="s">
        <v>881</v>
      </c>
      <c r="J246" s="28">
        <v>3555</v>
      </c>
      <c r="K246" s="69">
        <v>2.2499999999999999E-2</v>
      </c>
    </row>
    <row r="247" spans="3:11" x14ac:dyDescent="0.3">
      <c r="C247" s="5" t="s">
        <v>346</v>
      </c>
      <c r="D247" s="1" t="s">
        <v>347</v>
      </c>
      <c r="E247" s="28">
        <v>8595</v>
      </c>
      <c r="F247" s="15">
        <v>0</v>
      </c>
      <c r="H247" s="5" t="s">
        <v>1562</v>
      </c>
      <c r="I247" s="1" t="s">
        <v>1563</v>
      </c>
      <c r="J247" s="28">
        <v>3539</v>
      </c>
      <c r="K247" s="69">
        <v>0</v>
      </c>
    </row>
    <row r="248" spans="3:11" x14ac:dyDescent="0.3">
      <c r="C248" s="5" t="s">
        <v>460</v>
      </c>
      <c r="D248" s="1" t="s">
        <v>461</v>
      </c>
      <c r="E248" s="28">
        <v>8519</v>
      </c>
      <c r="F248" s="15">
        <v>3.3599999999999998E-2</v>
      </c>
      <c r="H248" s="5" t="s">
        <v>859</v>
      </c>
      <c r="I248" s="1" t="s">
        <v>860</v>
      </c>
      <c r="J248" s="28">
        <v>3531</v>
      </c>
      <c r="K248" s="69">
        <v>9.5999999999999992E-3</v>
      </c>
    </row>
    <row r="249" spans="3:11" x14ac:dyDescent="0.3">
      <c r="C249" s="5" t="s">
        <v>1642</v>
      </c>
      <c r="D249" s="1" t="s">
        <v>1643</v>
      </c>
      <c r="E249" s="28">
        <v>8462</v>
      </c>
      <c r="F249" s="15">
        <v>1.6299999999999999E-2</v>
      </c>
      <c r="H249" s="5" t="s">
        <v>819</v>
      </c>
      <c r="I249" s="1" t="s">
        <v>820</v>
      </c>
      <c r="J249" s="28">
        <v>3526</v>
      </c>
      <c r="K249" s="69">
        <v>1.52E-2</v>
      </c>
    </row>
    <row r="250" spans="3:11" x14ac:dyDescent="0.3">
      <c r="C250" s="5" t="s">
        <v>420</v>
      </c>
      <c r="D250" s="1" t="s">
        <v>421</v>
      </c>
      <c r="E250" s="28">
        <v>8459</v>
      </c>
      <c r="F250" s="15">
        <v>1.2999999999999999E-3</v>
      </c>
      <c r="H250" s="5" t="s">
        <v>875</v>
      </c>
      <c r="I250" s="1" t="s">
        <v>876</v>
      </c>
      <c r="J250" s="28">
        <v>3523</v>
      </c>
      <c r="K250" s="69">
        <v>-2.8999999999999998E-3</v>
      </c>
    </row>
    <row r="251" spans="3:11" x14ac:dyDescent="0.3">
      <c r="C251" s="5" t="s">
        <v>1548</v>
      </c>
      <c r="D251" s="1" t="s">
        <v>1549</v>
      </c>
      <c r="E251" s="28">
        <v>8323</v>
      </c>
      <c r="F251" s="15">
        <v>-3.3999999999999998E-3</v>
      </c>
      <c r="H251" s="5" t="s">
        <v>1560</v>
      </c>
      <c r="I251" s="1" t="s">
        <v>1561</v>
      </c>
      <c r="J251" s="28">
        <v>3523</v>
      </c>
      <c r="K251" s="69">
        <v>-1.4E-3</v>
      </c>
    </row>
    <row r="252" spans="3:11" x14ac:dyDescent="0.3">
      <c r="C252" s="5" t="s">
        <v>372</v>
      </c>
      <c r="D252" s="1" t="s">
        <v>373</v>
      </c>
      <c r="E252" s="28">
        <v>8256</v>
      </c>
      <c r="F252" s="15">
        <v>9.4000000000000004E-3</v>
      </c>
      <c r="H252" s="5" t="s">
        <v>1591</v>
      </c>
      <c r="I252" s="1" t="s">
        <v>1592</v>
      </c>
      <c r="J252" s="28">
        <v>3520</v>
      </c>
      <c r="K252" s="69">
        <v>1.38E-2</v>
      </c>
    </row>
    <row r="253" spans="3:11" x14ac:dyDescent="0.3">
      <c r="C253" s="5" t="s">
        <v>430</v>
      </c>
      <c r="D253" s="1" t="s">
        <v>431</v>
      </c>
      <c r="E253" s="28">
        <v>8179</v>
      </c>
      <c r="F253" s="15">
        <v>-1.61E-2</v>
      </c>
      <c r="H253" s="5" t="s">
        <v>1705</v>
      </c>
      <c r="I253" s="1" t="s">
        <v>1706</v>
      </c>
      <c r="J253" s="28">
        <v>3512</v>
      </c>
      <c r="K253" s="69">
        <v>0.1201</v>
      </c>
    </row>
    <row r="254" spans="3:11" x14ac:dyDescent="0.3">
      <c r="C254" s="5" t="s">
        <v>492</v>
      </c>
      <c r="D254" s="1" t="s">
        <v>493</v>
      </c>
      <c r="E254" s="28">
        <v>8134</v>
      </c>
      <c r="F254" s="15">
        <v>2.0899999999999998E-2</v>
      </c>
      <c r="H254" s="5" t="s">
        <v>871</v>
      </c>
      <c r="I254" s="1" t="s">
        <v>872</v>
      </c>
      <c r="J254" s="28">
        <v>3484</v>
      </c>
      <c r="K254" s="69">
        <v>-1.4500000000000001E-2</v>
      </c>
    </row>
    <row r="255" spans="3:11" x14ac:dyDescent="0.3">
      <c r="C255" s="5" t="s">
        <v>426</v>
      </c>
      <c r="D255" s="1" t="s">
        <v>427</v>
      </c>
      <c r="E255" s="28">
        <v>8085</v>
      </c>
      <c r="F255" s="15">
        <v>-7.9000000000000008E-3</v>
      </c>
      <c r="H255" s="5" t="s">
        <v>811</v>
      </c>
      <c r="I255" s="1" t="s">
        <v>812</v>
      </c>
      <c r="J255" s="28">
        <v>3483</v>
      </c>
      <c r="K255" s="69">
        <v>-3.8999999999999998E-3</v>
      </c>
    </row>
    <row r="256" spans="3:11" x14ac:dyDescent="0.3">
      <c r="C256" s="5" t="s">
        <v>365</v>
      </c>
      <c r="D256" s="1" t="s">
        <v>366</v>
      </c>
      <c r="E256" s="28">
        <v>8064</v>
      </c>
      <c r="F256" s="15">
        <v>0</v>
      </c>
      <c r="H256" s="5" t="s">
        <v>1707</v>
      </c>
      <c r="I256" s="1" t="s">
        <v>1708</v>
      </c>
      <c r="J256" s="28">
        <v>3474</v>
      </c>
      <c r="K256" s="69">
        <v>3.7499999999999999E-2</v>
      </c>
    </row>
    <row r="257" spans="3:11" x14ac:dyDescent="0.3">
      <c r="C257" s="5" t="s">
        <v>1606</v>
      </c>
      <c r="D257" s="1" t="s">
        <v>1607</v>
      </c>
      <c r="E257" s="28">
        <v>7936</v>
      </c>
      <c r="F257" s="15">
        <v>3.4799999999999998E-2</v>
      </c>
      <c r="H257" s="5" t="s">
        <v>906</v>
      </c>
      <c r="I257" s="1" t="s">
        <v>907</v>
      </c>
      <c r="J257" s="28">
        <v>3466</v>
      </c>
      <c r="K257" s="69">
        <v>-5.7000000000000002E-3</v>
      </c>
    </row>
    <row r="258" spans="3:11" x14ac:dyDescent="0.3">
      <c r="C258" s="5" t="s">
        <v>396</v>
      </c>
      <c r="D258" s="1" t="s">
        <v>397</v>
      </c>
      <c r="E258" s="28">
        <v>7931</v>
      </c>
      <c r="F258" s="15">
        <v>1.55E-2</v>
      </c>
      <c r="H258" s="5" t="s">
        <v>879</v>
      </c>
      <c r="I258" s="1" t="s">
        <v>880</v>
      </c>
      <c r="J258" s="28">
        <v>3456</v>
      </c>
      <c r="K258" s="69">
        <v>1.17E-2</v>
      </c>
    </row>
    <row r="259" spans="3:11" x14ac:dyDescent="0.3">
      <c r="C259" s="5" t="s">
        <v>480</v>
      </c>
      <c r="D259" s="1" t="s">
        <v>481</v>
      </c>
      <c r="E259" s="28">
        <v>7913</v>
      </c>
      <c r="F259" s="15">
        <v>7.6E-3</v>
      </c>
      <c r="H259" s="5" t="s">
        <v>805</v>
      </c>
      <c r="I259" s="1" t="s">
        <v>806</v>
      </c>
      <c r="J259" s="28">
        <v>3441</v>
      </c>
      <c r="K259" s="69">
        <v>-2E-3</v>
      </c>
    </row>
    <row r="260" spans="3:11" x14ac:dyDescent="0.3">
      <c r="C260" s="5" t="s">
        <v>486</v>
      </c>
      <c r="D260" s="1" t="s">
        <v>487</v>
      </c>
      <c r="E260" s="28">
        <v>7912</v>
      </c>
      <c r="F260" s="15">
        <v>1.8599999999999998E-2</v>
      </c>
      <c r="H260" s="5" t="s">
        <v>886</v>
      </c>
      <c r="I260" s="1" t="s">
        <v>887</v>
      </c>
      <c r="J260" s="28">
        <v>3431</v>
      </c>
      <c r="K260" s="69">
        <v>2.8999999999999998E-3</v>
      </c>
    </row>
    <row r="261" spans="3:11" x14ac:dyDescent="0.3">
      <c r="C261" s="5" t="s">
        <v>1644</v>
      </c>
      <c r="D261" s="1" t="s">
        <v>1645</v>
      </c>
      <c r="E261" s="28">
        <v>7895</v>
      </c>
      <c r="F261" s="15">
        <v>1.83E-2</v>
      </c>
      <c r="H261" s="5" t="s">
        <v>1709</v>
      </c>
      <c r="I261" s="1" t="s">
        <v>1710</v>
      </c>
      <c r="J261" s="28">
        <v>3405</v>
      </c>
      <c r="K261" s="69">
        <v>7.9600000000000004E-2</v>
      </c>
    </row>
    <row r="262" spans="3:11" x14ac:dyDescent="0.3">
      <c r="C262" s="5" t="s">
        <v>1585</v>
      </c>
      <c r="D262" s="1" t="s">
        <v>1586</v>
      </c>
      <c r="E262" s="28">
        <v>7881</v>
      </c>
      <c r="F262" s="15">
        <v>3.0999999999999999E-3</v>
      </c>
      <c r="H262" s="5" t="s">
        <v>1012</v>
      </c>
      <c r="I262" s="1" t="s">
        <v>1013</v>
      </c>
      <c r="J262" s="28">
        <v>3402</v>
      </c>
      <c r="K262" s="69">
        <v>1.5E-3</v>
      </c>
    </row>
    <row r="263" spans="3:11" x14ac:dyDescent="0.3">
      <c r="C263" s="5" t="s">
        <v>1646</v>
      </c>
      <c r="D263" s="1" t="s">
        <v>1647</v>
      </c>
      <c r="E263" s="28">
        <v>7845</v>
      </c>
      <c r="F263" s="15">
        <v>-0.01</v>
      </c>
      <c r="H263" s="5" t="s">
        <v>894</v>
      </c>
      <c r="I263" s="1" t="s">
        <v>895</v>
      </c>
      <c r="J263" s="28">
        <v>3400</v>
      </c>
      <c r="K263" s="69">
        <v>1.37E-2</v>
      </c>
    </row>
    <row r="264" spans="3:11" x14ac:dyDescent="0.3">
      <c r="C264" s="5" t="s">
        <v>1648</v>
      </c>
      <c r="D264" s="1" t="s">
        <v>1649</v>
      </c>
      <c r="E264" s="28">
        <v>7812</v>
      </c>
      <c r="F264" s="15">
        <v>1.12E-2</v>
      </c>
      <c r="H264" s="5" t="s">
        <v>1070</v>
      </c>
      <c r="I264" s="1" t="s">
        <v>1071</v>
      </c>
      <c r="J264" s="28">
        <v>3383</v>
      </c>
      <c r="K264" s="69">
        <v>-7.1000000000000004E-3</v>
      </c>
    </row>
    <row r="265" spans="3:11" x14ac:dyDescent="0.3">
      <c r="C265" s="5" t="s">
        <v>412</v>
      </c>
      <c r="D265" s="1" t="s">
        <v>413</v>
      </c>
      <c r="E265" s="28">
        <v>7673</v>
      </c>
      <c r="F265" s="15">
        <v>1.37E-2</v>
      </c>
      <c r="H265" s="5" t="s">
        <v>908</v>
      </c>
      <c r="I265" s="1" t="s">
        <v>909</v>
      </c>
      <c r="J265" s="28">
        <v>3373</v>
      </c>
      <c r="K265" s="69">
        <v>0</v>
      </c>
    </row>
    <row r="266" spans="3:11" x14ac:dyDescent="0.3">
      <c r="C266" s="5" t="s">
        <v>1587</v>
      </c>
      <c r="D266" s="1" t="s">
        <v>1588</v>
      </c>
      <c r="E266" s="28">
        <v>7599</v>
      </c>
      <c r="F266" s="15">
        <v>-1.6500000000000001E-2</v>
      </c>
      <c r="H266" s="5" t="s">
        <v>892</v>
      </c>
      <c r="I266" s="1" t="s">
        <v>893</v>
      </c>
      <c r="J266" s="28">
        <v>3366</v>
      </c>
      <c r="K266" s="69">
        <v>1.0200000000000001E-2</v>
      </c>
    </row>
    <row r="267" spans="3:11" x14ac:dyDescent="0.3">
      <c r="C267" s="5" t="s">
        <v>478</v>
      </c>
      <c r="D267" s="1" t="s">
        <v>479</v>
      </c>
      <c r="E267" s="28">
        <v>7599</v>
      </c>
      <c r="F267" s="15">
        <v>9.1000000000000004E-3</v>
      </c>
      <c r="H267" s="5" t="s">
        <v>839</v>
      </c>
      <c r="I267" s="1" t="s">
        <v>840</v>
      </c>
      <c r="J267" s="28">
        <v>3336</v>
      </c>
      <c r="K267" s="69">
        <v>-5.1000000000000004E-3</v>
      </c>
    </row>
    <row r="268" spans="3:11" x14ac:dyDescent="0.3">
      <c r="C268" s="5" t="s">
        <v>404</v>
      </c>
      <c r="D268" s="1" t="s">
        <v>405</v>
      </c>
      <c r="E268" s="28">
        <v>7565</v>
      </c>
      <c r="F268" s="15">
        <v>2.0500000000000001E-2</v>
      </c>
      <c r="H268" s="5" t="s">
        <v>1618</v>
      </c>
      <c r="I268" s="1" t="s">
        <v>1619</v>
      </c>
      <c r="J268" s="28">
        <v>3335</v>
      </c>
      <c r="K268" s="69">
        <v>5.1000000000000004E-3</v>
      </c>
    </row>
    <row r="269" spans="3:11" x14ac:dyDescent="0.3">
      <c r="C269" s="5" t="s">
        <v>418</v>
      </c>
      <c r="D269" s="1" t="s">
        <v>419</v>
      </c>
      <c r="E269" s="28">
        <v>7467</v>
      </c>
      <c r="F269" s="15">
        <v>2.6499999999999999E-2</v>
      </c>
      <c r="H269" s="5" t="s">
        <v>1711</v>
      </c>
      <c r="I269" s="1" t="s">
        <v>1712</v>
      </c>
      <c r="J269" s="28">
        <v>3331</v>
      </c>
      <c r="K269" s="69">
        <v>9.7000000000000003E-3</v>
      </c>
    </row>
    <row r="270" spans="3:11" x14ac:dyDescent="0.3">
      <c r="C270" s="5" t="s">
        <v>398</v>
      </c>
      <c r="D270" s="1" t="s">
        <v>399</v>
      </c>
      <c r="E270" s="28">
        <v>7452</v>
      </c>
      <c r="F270" s="15">
        <v>4.7999999999999996E-3</v>
      </c>
      <c r="H270" s="5" t="s">
        <v>1713</v>
      </c>
      <c r="I270" s="1" t="s">
        <v>1714</v>
      </c>
      <c r="J270" s="28">
        <v>3309</v>
      </c>
      <c r="K270" s="69">
        <v>4.0000000000000001E-3</v>
      </c>
    </row>
    <row r="271" spans="3:11" x14ac:dyDescent="0.3">
      <c r="C271" s="5" t="s">
        <v>474</v>
      </c>
      <c r="D271" s="1" t="s">
        <v>475</v>
      </c>
      <c r="E271" s="28">
        <v>7193</v>
      </c>
      <c r="F271" s="15">
        <v>2.8999999999999998E-3</v>
      </c>
      <c r="H271" s="5" t="s">
        <v>1624</v>
      </c>
      <c r="I271" s="1" t="s">
        <v>1625</v>
      </c>
      <c r="J271" s="28">
        <v>3304</v>
      </c>
      <c r="K271" s="69">
        <v>7.6E-3</v>
      </c>
    </row>
    <row r="272" spans="3:11" x14ac:dyDescent="0.3">
      <c r="C272" s="5" t="s">
        <v>484</v>
      </c>
      <c r="D272" s="1" t="s">
        <v>485</v>
      </c>
      <c r="E272" s="28">
        <v>7189</v>
      </c>
      <c r="F272" s="15">
        <v>-3.0999999999999999E-3</v>
      </c>
      <c r="H272" s="5" t="s">
        <v>1715</v>
      </c>
      <c r="I272" s="1" t="s">
        <v>1716</v>
      </c>
      <c r="J272" s="28">
        <v>3289</v>
      </c>
      <c r="K272" s="69">
        <v>0</v>
      </c>
    </row>
    <row r="273" spans="3:11" x14ac:dyDescent="0.3">
      <c r="C273" s="5" t="s">
        <v>1650</v>
      </c>
      <c r="D273" s="1" t="s">
        <v>1651</v>
      </c>
      <c r="E273" s="28">
        <v>7162</v>
      </c>
      <c r="F273" s="15">
        <v>1.5E-3</v>
      </c>
      <c r="H273" s="5" t="s">
        <v>821</v>
      </c>
      <c r="I273" s="1" t="s">
        <v>822</v>
      </c>
      <c r="J273" s="28">
        <v>3285</v>
      </c>
      <c r="K273" s="69">
        <v>6.6E-3</v>
      </c>
    </row>
    <row r="274" spans="3:11" x14ac:dyDescent="0.3">
      <c r="C274" s="5" t="s">
        <v>348</v>
      </c>
      <c r="D274" s="1" t="s">
        <v>349</v>
      </c>
      <c r="E274" s="28">
        <v>7045</v>
      </c>
      <c r="F274" s="15">
        <v>1.6400000000000001E-2</v>
      </c>
      <c r="H274" s="5" t="s">
        <v>1717</v>
      </c>
      <c r="I274" s="1" t="s">
        <v>1718</v>
      </c>
      <c r="J274" s="28">
        <v>3272</v>
      </c>
      <c r="K274" s="69">
        <v>-1.23E-2</v>
      </c>
    </row>
    <row r="275" spans="3:11" x14ac:dyDescent="0.3">
      <c r="C275" s="5" t="s">
        <v>378</v>
      </c>
      <c r="D275" s="1" t="s">
        <v>379</v>
      </c>
      <c r="E275" s="28">
        <v>7042</v>
      </c>
      <c r="F275" s="15">
        <v>-6.0000000000000001E-3</v>
      </c>
      <c r="H275" s="5" t="s">
        <v>1620</v>
      </c>
      <c r="I275" s="1" t="s">
        <v>1621</v>
      </c>
      <c r="J275" s="28">
        <v>3271</v>
      </c>
      <c r="K275" s="69">
        <v>5.4199999999999998E-2</v>
      </c>
    </row>
    <row r="276" spans="3:11" x14ac:dyDescent="0.3">
      <c r="C276" s="5" t="s">
        <v>1534</v>
      </c>
      <c r="D276" s="1" t="s">
        <v>1535</v>
      </c>
      <c r="E276" s="28">
        <v>7042</v>
      </c>
      <c r="F276" s="15">
        <v>1.4200000000000001E-2</v>
      </c>
      <c r="H276" s="5" t="s">
        <v>835</v>
      </c>
      <c r="I276" s="1" t="s">
        <v>836</v>
      </c>
      <c r="J276" s="28">
        <v>3269</v>
      </c>
      <c r="K276" s="69">
        <v>-8.2000000000000007E-3</v>
      </c>
    </row>
    <row r="277" spans="3:11" x14ac:dyDescent="0.3">
      <c r="C277" s="5" t="s">
        <v>466</v>
      </c>
      <c r="D277" s="1" t="s">
        <v>467</v>
      </c>
      <c r="E277" s="28">
        <v>7040</v>
      </c>
      <c r="F277" s="15">
        <v>-1.6899999999999998E-2</v>
      </c>
      <c r="H277" s="5" t="s">
        <v>869</v>
      </c>
      <c r="I277" s="1" t="s">
        <v>870</v>
      </c>
      <c r="J277" s="28">
        <v>3260</v>
      </c>
      <c r="K277" s="69">
        <v>2.2100000000000002E-2</v>
      </c>
    </row>
    <row r="278" spans="3:11" x14ac:dyDescent="0.3">
      <c r="C278" s="5" t="s">
        <v>1550</v>
      </c>
      <c r="D278" s="1" t="s">
        <v>1551</v>
      </c>
      <c r="E278" s="28">
        <v>7027</v>
      </c>
      <c r="F278" s="15">
        <v>8.0000000000000002E-3</v>
      </c>
      <c r="H278" s="5" t="s">
        <v>727</v>
      </c>
      <c r="I278" s="1" t="s">
        <v>728</v>
      </c>
      <c r="J278" s="28">
        <v>3259</v>
      </c>
      <c r="K278" s="69">
        <v>1.37E-2</v>
      </c>
    </row>
    <row r="279" spans="3:11" x14ac:dyDescent="0.3">
      <c r="C279" s="5" t="s">
        <v>386</v>
      </c>
      <c r="D279" s="1" t="s">
        <v>387</v>
      </c>
      <c r="E279" s="28">
        <v>6945</v>
      </c>
      <c r="F279" s="15">
        <v>1.21E-2</v>
      </c>
      <c r="H279" s="5" t="s">
        <v>1614</v>
      </c>
      <c r="I279" s="1" t="s">
        <v>1615</v>
      </c>
      <c r="J279" s="28">
        <v>3242</v>
      </c>
      <c r="K279" s="69">
        <v>-5.1999999999999998E-3</v>
      </c>
    </row>
    <row r="280" spans="3:11" x14ac:dyDescent="0.3">
      <c r="C280" s="5" t="s">
        <v>408</v>
      </c>
      <c r="D280" s="1" t="s">
        <v>409</v>
      </c>
      <c r="E280" s="28">
        <v>6925</v>
      </c>
      <c r="F280" s="15">
        <v>-9.7000000000000003E-3</v>
      </c>
      <c r="H280" s="5" t="s">
        <v>914</v>
      </c>
      <c r="I280" s="1" t="s">
        <v>915</v>
      </c>
      <c r="J280" s="28">
        <v>3230</v>
      </c>
      <c r="K280" s="69">
        <v>4.3E-3</v>
      </c>
    </row>
    <row r="281" spans="3:11" x14ac:dyDescent="0.3">
      <c r="C281" s="5" t="s">
        <v>1652</v>
      </c>
      <c r="D281" s="1" t="s">
        <v>1653</v>
      </c>
      <c r="E281" s="28">
        <v>6879</v>
      </c>
      <c r="F281" s="15">
        <v>1.06E-2</v>
      </c>
      <c r="H281" s="5" t="s">
        <v>902</v>
      </c>
      <c r="I281" s="1" t="s">
        <v>903</v>
      </c>
      <c r="J281" s="28">
        <v>3224</v>
      </c>
      <c r="K281" s="69">
        <v>-8.6999999999999994E-3</v>
      </c>
    </row>
    <row r="282" spans="3:11" x14ac:dyDescent="0.3">
      <c r="C282" s="5" t="s">
        <v>249</v>
      </c>
      <c r="D282" s="1" t="s">
        <v>250</v>
      </c>
      <c r="E282" s="28">
        <v>6794</v>
      </c>
      <c r="F282" s="15">
        <v>-8.3999999999999995E-3</v>
      </c>
      <c r="H282" s="5" t="s">
        <v>1719</v>
      </c>
      <c r="I282" s="1" t="s">
        <v>1720</v>
      </c>
      <c r="J282" s="28">
        <v>3218</v>
      </c>
      <c r="K282" s="69">
        <v>-0.04</v>
      </c>
    </row>
    <row r="283" spans="3:11" x14ac:dyDescent="0.3">
      <c r="C283" s="5" t="s">
        <v>442</v>
      </c>
      <c r="D283" s="1" t="s">
        <v>443</v>
      </c>
      <c r="E283" s="28">
        <v>6789</v>
      </c>
      <c r="F283" s="15">
        <v>1.2999999999999999E-3</v>
      </c>
      <c r="H283" s="5" t="s">
        <v>855</v>
      </c>
      <c r="I283" s="1" t="s">
        <v>856</v>
      </c>
      <c r="J283" s="28">
        <v>3201</v>
      </c>
      <c r="K283" s="69">
        <v>4.0000000000000001E-3</v>
      </c>
    </row>
    <row r="284" spans="3:11" x14ac:dyDescent="0.3">
      <c r="C284" s="5" t="s">
        <v>452</v>
      </c>
      <c r="D284" s="1" t="s">
        <v>453</v>
      </c>
      <c r="E284" s="28">
        <v>6708</v>
      </c>
      <c r="F284" s="15">
        <v>-4.4999999999999997E-3</v>
      </c>
      <c r="H284" s="5" t="s">
        <v>1721</v>
      </c>
      <c r="I284" s="1" t="s">
        <v>1722</v>
      </c>
      <c r="J284" s="28">
        <v>3199</v>
      </c>
      <c r="K284" s="69">
        <v>2.2000000000000001E-3</v>
      </c>
    </row>
    <row r="285" spans="3:11" x14ac:dyDescent="0.3">
      <c r="C285" s="5" t="s">
        <v>470</v>
      </c>
      <c r="D285" s="1" t="s">
        <v>471</v>
      </c>
      <c r="E285" s="28">
        <v>6704</v>
      </c>
      <c r="F285" s="15">
        <v>-2.3999999999999998E-3</v>
      </c>
      <c r="H285" s="5" t="s">
        <v>687</v>
      </c>
      <c r="I285" s="1" t="s">
        <v>688</v>
      </c>
      <c r="J285" s="28">
        <v>3196</v>
      </c>
      <c r="K285" s="69">
        <v>-4.0800000000000003E-2</v>
      </c>
    </row>
    <row r="286" spans="3:11" x14ac:dyDescent="0.3">
      <c r="C286" s="5" t="s">
        <v>392</v>
      </c>
      <c r="D286" s="1" t="s">
        <v>393</v>
      </c>
      <c r="E286" s="28">
        <v>6679</v>
      </c>
      <c r="F286" s="15">
        <v>0</v>
      </c>
      <c r="H286" s="5" t="s">
        <v>1723</v>
      </c>
      <c r="I286" s="1" t="s">
        <v>1724</v>
      </c>
      <c r="J286" s="28">
        <v>3190</v>
      </c>
      <c r="K286" s="69">
        <v>2.6499999999999999E-2</v>
      </c>
    </row>
    <row r="287" spans="3:11" x14ac:dyDescent="0.3">
      <c r="C287" s="5" t="s">
        <v>448</v>
      </c>
      <c r="D287" s="1" t="s">
        <v>449</v>
      </c>
      <c r="E287" s="28">
        <v>6655</v>
      </c>
      <c r="F287" s="15">
        <v>2E-3</v>
      </c>
      <c r="H287" s="5" t="s">
        <v>916</v>
      </c>
      <c r="I287" s="1" t="s">
        <v>917</v>
      </c>
      <c r="J287" s="28">
        <v>3179</v>
      </c>
      <c r="K287" s="69">
        <v>7.0000000000000001E-3</v>
      </c>
    </row>
    <row r="288" spans="3:11" x14ac:dyDescent="0.3">
      <c r="C288" s="5" t="s">
        <v>434</v>
      </c>
      <c r="D288" s="1" t="s">
        <v>435</v>
      </c>
      <c r="E288" s="28">
        <v>6631</v>
      </c>
      <c r="F288" s="15">
        <v>0</v>
      </c>
      <c r="H288" s="5" t="s">
        <v>900</v>
      </c>
      <c r="I288" s="1" t="s">
        <v>901</v>
      </c>
      <c r="J288" s="28">
        <v>3176</v>
      </c>
      <c r="K288" s="69">
        <v>-1.6999999999999999E-3</v>
      </c>
    </row>
    <row r="289" spans="3:11" x14ac:dyDescent="0.3">
      <c r="C289" s="5" t="s">
        <v>490</v>
      </c>
      <c r="D289" s="1" t="s">
        <v>491</v>
      </c>
      <c r="E289" s="28">
        <v>6616</v>
      </c>
      <c r="F289" s="15">
        <v>2.0999999999999999E-3</v>
      </c>
      <c r="H289" s="5" t="s">
        <v>904</v>
      </c>
      <c r="I289" s="1" t="s">
        <v>905</v>
      </c>
      <c r="J289" s="28">
        <v>3171</v>
      </c>
      <c r="K289" s="69">
        <v>1.6E-2</v>
      </c>
    </row>
    <row r="290" spans="3:11" x14ac:dyDescent="0.3">
      <c r="C290" s="5" t="s">
        <v>432</v>
      </c>
      <c r="D290" s="1" t="s">
        <v>433</v>
      </c>
      <c r="E290" s="28">
        <v>6614</v>
      </c>
      <c r="F290" s="15">
        <v>4.4999999999999997E-3</v>
      </c>
      <c r="H290" s="5" t="s">
        <v>1525</v>
      </c>
      <c r="I290" s="1" t="s">
        <v>1526</v>
      </c>
      <c r="J290" s="28">
        <v>3159</v>
      </c>
      <c r="K290" s="69">
        <v>1.7399999999999999E-2</v>
      </c>
    </row>
    <row r="291" spans="3:11" x14ac:dyDescent="0.3">
      <c r="C291" s="5" t="s">
        <v>1654</v>
      </c>
      <c r="D291" s="1" t="s">
        <v>1655</v>
      </c>
      <c r="E291" s="28">
        <v>6586</v>
      </c>
      <c r="F291" s="15">
        <v>-2.5000000000000001E-3</v>
      </c>
      <c r="H291" s="5" t="s">
        <v>884</v>
      </c>
      <c r="I291" s="1" t="s">
        <v>885</v>
      </c>
      <c r="J291" s="28">
        <v>3156</v>
      </c>
      <c r="K291" s="69">
        <v>1.21E-2</v>
      </c>
    </row>
    <row r="292" spans="3:11" x14ac:dyDescent="0.3">
      <c r="C292" s="5" t="s">
        <v>414</v>
      </c>
      <c r="D292" s="1" t="s">
        <v>415</v>
      </c>
      <c r="E292" s="28">
        <v>6559</v>
      </c>
      <c r="F292" s="15">
        <v>-1.2999999999999999E-2</v>
      </c>
      <c r="H292" s="5" t="s">
        <v>1725</v>
      </c>
      <c r="I292" s="1" t="s">
        <v>1726</v>
      </c>
      <c r="J292" s="28">
        <v>3143</v>
      </c>
      <c r="K292" s="69">
        <v>0</v>
      </c>
    </row>
    <row r="293" spans="3:11" x14ac:dyDescent="0.3">
      <c r="C293" s="5" t="s">
        <v>410</v>
      </c>
      <c r="D293" s="1" t="s">
        <v>411</v>
      </c>
      <c r="E293" s="28">
        <v>6497</v>
      </c>
      <c r="F293" s="15">
        <v>-2.8999999999999998E-3</v>
      </c>
      <c r="H293" s="5" t="s">
        <v>707</v>
      </c>
      <c r="I293" s="1" t="s">
        <v>708</v>
      </c>
      <c r="J293" s="28">
        <v>3140</v>
      </c>
      <c r="K293" s="69">
        <v>7.7999999999999996E-3</v>
      </c>
    </row>
    <row r="294" spans="3:11" x14ac:dyDescent="0.3">
      <c r="C294" s="5" t="s">
        <v>440</v>
      </c>
      <c r="D294" s="1" t="s">
        <v>441</v>
      </c>
      <c r="E294" s="28">
        <v>6480</v>
      </c>
      <c r="F294" s="15">
        <v>1.1900000000000001E-2</v>
      </c>
      <c r="H294" s="5" t="s">
        <v>1509</v>
      </c>
      <c r="I294" s="1" t="s">
        <v>1510</v>
      </c>
      <c r="J294" s="28">
        <v>3132</v>
      </c>
      <c r="K294" s="69">
        <v>1.17E-2</v>
      </c>
    </row>
    <row r="295" spans="3:11" x14ac:dyDescent="0.3">
      <c r="C295" s="5" t="s">
        <v>1608</v>
      </c>
      <c r="D295" s="1" t="s">
        <v>1609</v>
      </c>
      <c r="E295" s="28">
        <v>6436</v>
      </c>
      <c r="F295" s="15">
        <v>2.2100000000000002E-2</v>
      </c>
      <c r="H295" s="5" t="s">
        <v>1727</v>
      </c>
      <c r="I295" s="1" t="s">
        <v>1728</v>
      </c>
      <c r="J295" s="28">
        <v>3130</v>
      </c>
      <c r="K295" s="69">
        <v>-1.44E-2</v>
      </c>
    </row>
    <row r="296" spans="3:11" x14ac:dyDescent="0.3">
      <c r="C296" s="5" t="s">
        <v>367</v>
      </c>
      <c r="D296" s="1" t="s">
        <v>368</v>
      </c>
      <c r="E296" s="28">
        <v>6367</v>
      </c>
      <c r="F296" s="15">
        <v>4.1999999999999997E-3</v>
      </c>
      <c r="H296" s="5" t="s">
        <v>1729</v>
      </c>
      <c r="I296" s="1" t="s">
        <v>1730</v>
      </c>
      <c r="J296" s="28">
        <v>3117</v>
      </c>
      <c r="K296" s="69">
        <v>-2.0999999999999999E-3</v>
      </c>
    </row>
    <row r="297" spans="3:11" x14ac:dyDescent="0.3">
      <c r="C297" s="5" t="s">
        <v>1656</v>
      </c>
      <c r="D297" s="1" t="s">
        <v>1657</v>
      </c>
      <c r="E297" s="28">
        <v>6367</v>
      </c>
      <c r="F297" s="15">
        <v>1.6000000000000001E-3</v>
      </c>
      <c r="H297" s="5" t="s">
        <v>920</v>
      </c>
      <c r="I297" s="1" t="s">
        <v>921</v>
      </c>
      <c r="J297" s="28">
        <v>3109</v>
      </c>
      <c r="K297" s="69">
        <v>-3.0000000000000001E-3</v>
      </c>
    </row>
    <row r="298" spans="3:11" x14ac:dyDescent="0.3">
      <c r="C298" s="5" t="s">
        <v>1658</v>
      </c>
      <c r="D298" s="1" t="s">
        <v>364</v>
      </c>
      <c r="E298" s="28">
        <v>6330</v>
      </c>
      <c r="F298" s="15">
        <v>-4.4999999999999997E-3</v>
      </c>
      <c r="H298" s="5" t="s">
        <v>877</v>
      </c>
      <c r="I298" s="1" t="s">
        <v>878</v>
      </c>
      <c r="J298" s="28">
        <v>3092</v>
      </c>
      <c r="K298" s="69">
        <v>5.0000000000000001E-3</v>
      </c>
    </row>
    <row r="299" spans="3:11" x14ac:dyDescent="0.3">
      <c r="C299" s="5" t="s">
        <v>444</v>
      </c>
      <c r="D299" s="1" t="s">
        <v>445</v>
      </c>
      <c r="E299" s="28">
        <v>6325</v>
      </c>
      <c r="F299" s="15">
        <v>4.1000000000000003E-3</v>
      </c>
      <c r="H299" s="5" t="s">
        <v>1731</v>
      </c>
      <c r="I299" s="1" t="s">
        <v>1732</v>
      </c>
      <c r="J299" s="28">
        <v>3064</v>
      </c>
      <c r="K299" s="69">
        <v>-1E-3</v>
      </c>
    </row>
    <row r="300" spans="3:11" x14ac:dyDescent="0.3">
      <c r="C300" s="5" t="s">
        <v>468</v>
      </c>
      <c r="D300" s="1" t="s">
        <v>469</v>
      </c>
      <c r="E300" s="28">
        <v>6325</v>
      </c>
      <c r="F300" s="15">
        <v>3.5000000000000001E-3</v>
      </c>
      <c r="H300" s="5" t="s">
        <v>1589</v>
      </c>
      <c r="I300" s="1" t="s">
        <v>1590</v>
      </c>
      <c r="J300" s="28">
        <v>3062</v>
      </c>
      <c r="K300" s="69">
        <v>0</v>
      </c>
    </row>
    <row r="301" spans="3:11" x14ac:dyDescent="0.3">
      <c r="C301" s="5" t="s">
        <v>416</v>
      </c>
      <c r="D301" s="1" t="s">
        <v>417</v>
      </c>
      <c r="E301" s="28">
        <v>6279</v>
      </c>
      <c r="F301" s="15">
        <v>-7.0000000000000001E-3</v>
      </c>
      <c r="H301" s="5" t="s">
        <v>1733</v>
      </c>
      <c r="I301" s="1" t="s">
        <v>1734</v>
      </c>
      <c r="J301" s="28">
        <v>3058</v>
      </c>
      <c r="K301" s="69">
        <v>2.9600000000000001E-2</v>
      </c>
    </row>
    <row r="302" spans="3:11" x14ac:dyDescent="0.3">
      <c r="C302" s="5" t="s">
        <v>424</v>
      </c>
      <c r="D302" s="1" t="s">
        <v>425</v>
      </c>
      <c r="E302" s="28">
        <v>6251</v>
      </c>
      <c r="F302" s="15">
        <v>5.5999999999999999E-3</v>
      </c>
      <c r="H302" s="5" t="s">
        <v>1735</v>
      </c>
      <c r="I302" s="1" t="s">
        <v>1736</v>
      </c>
      <c r="J302" s="28">
        <v>3027</v>
      </c>
      <c r="K302" s="69">
        <v>2.4500000000000001E-2</v>
      </c>
    </row>
    <row r="303" spans="3:11" x14ac:dyDescent="0.3">
      <c r="C303" s="5" t="s">
        <v>1659</v>
      </c>
      <c r="D303" s="1" t="s">
        <v>1660</v>
      </c>
      <c r="E303" s="28">
        <v>6151</v>
      </c>
      <c r="F303" s="15">
        <v>-3.5999999999999999E-3</v>
      </c>
      <c r="H303" s="5" t="s">
        <v>1622</v>
      </c>
      <c r="I303" s="1" t="s">
        <v>1623</v>
      </c>
      <c r="J303" s="28">
        <v>3024</v>
      </c>
      <c r="K303" s="69">
        <v>5.3E-3</v>
      </c>
    </row>
    <row r="304" spans="3:11" x14ac:dyDescent="0.3">
      <c r="C304" s="5" t="s">
        <v>488</v>
      </c>
      <c r="D304" s="1" t="s">
        <v>489</v>
      </c>
      <c r="E304" s="28">
        <v>6116</v>
      </c>
      <c r="F304" s="15">
        <v>8.5000000000000006E-3</v>
      </c>
      <c r="H304" s="5" t="s">
        <v>1737</v>
      </c>
      <c r="I304" s="1" t="s">
        <v>1738</v>
      </c>
      <c r="J304" s="28">
        <v>3013</v>
      </c>
      <c r="K304" s="69">
        <v>4.6899999999999997E-2</v>
      </c>
    </row>
    <row r="305" spans="3:11" x14ac:dyDescent="0.3">
      <c r="C305" s="5" t="s">
        <v>1661</v>
      </c>
      <c r="D305" s="1" t="s">
        <v>1662</v>
      </c>
      <c r="E305" s="28">
        <v>6107</v>
      </c>
      <c r="F305" s="15">
        <v>-1.24E-2</v>
      </c>
      <c r="H305" s="5" t="s">
        <v>1523</v>
      </c>
      <c r="I305" s="1" t="s">
        <v>1524</v>
      </c>
      <c r="J305" s="28">
        <v>3010</v>
      </c>
      <c r="K305" s="69">
        <v>3.3099999999999997E-2</v>
      </c>
    </row>
    <row r="306" spans="3:11" x14ac:dyDescent="0.3">
      <c r="C306" s="5" t="s">
        <v>436</v>
      </c>
      <c r="D306" s="1" t="s">
        <v>437</v>
      </c>
      <c r="E306" s="28">
        <v>6070</v>
      </c>
      <c r="F306" s="15">
        <v>1.4200000000000001E-2</v>
      </c>
      <c r="H306" s="5" t="s">
        <v>1538</v>
      </c>
      <c r="I306" s="1" t="s">
        <v>1539</v>
      </c>
      <c r="J306" s="28">
        <v>2998</v>
      </c>
      <c r="K306" s="69">
        <v>-1.3100000000000001E-2</v>
      </c>
    </row>
    <row r="307" spans="3:11" x14ac:dyDescent="0.3">
      <c r="C307" s="5" t="s">
        <v>472</v>
      </c>
      <c r="D307" s="1" t="s">
        <v>473</v>
      </c>
      <c r="E307" s="28">
        <v>6028</v>
      </c>
      <c r="F307" s="15">
        <v>7.7000000000000002E-3</v>
      </c>
      <c r="H307" s="5" t="s">
        <v>1739</v>
      </c>
      <c r="I307" s="1" t="s">
        <v>1740</v>
      </c>
      <c r="J307" s="28">
        <v>2995</v>
      </c>
      <c r="K307" s="69">
        <v>7.4000000000000003E-3</v>
      </c>
    </row>
    <row r="308" spans="3:11" ht="17.25" thickBot="1" x14ac:dyDescent="0.35">
      <c r="C308" s="6" t="s">
        <v>1663</v>
      </c>
      <c r="D308" s="7" t="s">
        <v>1664</v>
      </c>
      <c r="E308" s="29">
        <v>5997</v>
      </c>
      <c r="F308" s="70">
        <v>-8.6999999999999994E-3</v>
      </c>
      <c r="H308" s="6" t="s">
        <v>1741</v>
      </c>
      <c r="I308" s="7" t="s">
        <v>1742</v>
      </c>
      <c r="J308" s="29">
        <v>2977</v>
      </c>
      <c r="K308" s="70">
        <v>2.0999999999999999E-3</v>
      </c>
    </row>
  </sheetData>
  <mergeCells count="11">
    <mergeCell ref="P20:T20"/>
    <mergeCell ref="P4:T4"/>
    <mergeCell ref="M4:N4"/>
    <mergeCell ref="C4:F4"/>
    <mergeCell ref="D5:F5"/>
    <mergeCell ref="D6:F6"/>
    <mergeCell ref="C7:F7"/>
    <mergeCell ref="H4:K4"/>
    <mergeCell ref="H7:K7"/>
    <mergeCell ref="I5:K5"/>
    <mergeCell ref="I6:K6"/>
  </mergeCells>
  <phoneticPr fontId="1" type="noConversion"/>
  <conditionalFormatting sqref="C6">
    <cfRule type="expression" dxfId="48" priority="16">
      <formula>IFERROR(FIND("-",$D$6),"0")="0"=FALSE</formula>
    </cfRule>
    <cfRule type="expression" dxfId="47" priority="17">
      <formula>IFERROR(FIND("-",$D$6),"0")="0"=TRUE</formula>
    </cfRule>
  </conditionalFormatting>
  <conditionalFormatting sqref="H6">
    <cfRule type="expression" dxfId="46" priority="12">
      <formula>IFERROR(FIND("-",$I$6),"0")="0"=FALSE</formula>
    </cfRule>
    <cfRule type="expression" dxfId="45" priority="13">
      <formula>IFERROR(FIND("-",$I$6),"0")="0"=TRUE</formula>
    </cfRule>
  </conditionalFormatting>
  <conditionalFormatting sqref="F9:F308">
    <cfRule type="top10" dxfId="44" priority="6" bottom="1" rank="1"/>
    <cfRule type="top10" dxfId="43" priority="7" rank="1"/>
  </conditionalFormatting>
  <conditionalFormatting sqref="K9:K308">
    <cfRule type="top10" dxfId="42" priority="4" bottom="1" rank="1"/>
    <cfRule type="top10" dxfId="41" priority="5" rank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네이버금융_주식종목코드가져오기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notContainsText" priority="24" operator="notContains" id="{60D31A8F-9493-4478-B29A-DA7A92F74A5C}">
            <xm:f>ISERROR(SEARCH("-",N8))</xm:f>
            <xm:f>"-"</xm:f>
            <x14:dxf>
              <font>
                <color rgb="FFFF0000"/>
              </font>
            </x14:dxf>
          </x14:cfRule>
          <x14:cfRule type="beginsWith" priority="25" operator="beginsWith" id="{51A697B0-8DED-4EBC-B4D8-6499727B05AA}">
            <xm:f>LEFT(N8,LEN("-"))="-"</xm:f>
            <xm:f>"-"</xm:f>
            <x14:dxf>
              <font>
                <color rgb="FF0070C0"/>
              </font>
            </x14:dxf>
          </x14:cfRule>
          <xm:sqref>N8:N86</xm:sqref>
        </x14:conditionalFormatting>
        <x14:conditionalFormatting xmlns:xm="http://schemas.microsoft.com/office/excel/2006/main">
          <x14:cfRule type="notContainsText" priority="20" operator="notContains" id="{2028B8FF-4F16-4B6D-98B2-28F2134874F5}">
            <xm:f>ISERROR(SEARCH("-",N6))</xm:f>
            <xm:f>"-"</xm:f>
            <x14:dxf>
              <font>
                <color rgb="FFFF0000"/>
              </font>
            </x14:dxf>
          </x14:cfRule>
          <x14:cfRule type="beginsWith" priority="21" operator="beginsWith" id="{570724C1-2C43-4CFE-ABD2-15EDC22F9560}">
            <xm:f>LEFT(N6,LEN("-"))="-"</xm:f>
            <xm:f>"-"</xm:f>
            <x14:dxf>
              <font>
                <color rgb="FF0070C0"/>
              </font>
            </x14:dxf>
          </x14:cfRule>
          <xm:sqref>N6:N7</xm:sqref>
        </x14:conditionalFormatting>
        <x14:conditionalFormatting xmlns:xm="http://schemas.microsoft.com/office/excel/2006/main">
          <x14:cfRule type="containsText" priority="18" operator="containsText" id="{A3B0AF06-FB25-4DE8-937E-E539DC0A8ABD}">
            <xm:f>NOT(ISERROR(SEARCH("-",D6)))</xm:f>
            <xm:f>"-"</xm:f>
            <x14:dxf>
              <font>
                <color rgb="FF0070C0"/>
              </font>
            </x14:dxf>
          </x14:cfRule>
          <x14:cfRule type="notContainsText" priority="19" operator="notContains" id="{E9C34828-6E1F-4C8B-8539-736230A626D6}">
            <xm:f>ISERROR(SEARCH("-",D6))</xm:f>
            <xm:f>"-"</xm:f>
            <x14:dxf>
              <font>
                <color rgb="FFFF0000"/>
              </font>
            </x14:dxf>
          </x14:cfRule>
          <xm:sqref>D6</xm:sqref>
        </x14:conditionalFormatting>
        <x14:conditionalFormatting xmlns:xm="http://schemas.microsoft.com/office/excel/2006/main">
          <x14:cfRule type="containsText" priority="14" operator="containsText" id="{B5D90572-D269-4B99-BEF3-EF5E7631D794}">
            <xm:f>NOT(ISERROR(SEARCH("-",I6)))</xm:f>
            <xm:f>"-"</xm:f>
            <x14:dxf>
              <font>
                <color rgb="FF0070C0"/>
              </font>
            </x14:dxf>
          </x14:cfRule>
          <x14:cfRule type="notContainsText" priority="15" operator="notContains" id="{DB2A5945-4C3C-432A-8078-A179E63CF535}">
            <xm:f>ISERROR(SEARCH("-",I6))</xm:f>
            <xm:f>"-"</xm:f>
            <x14:dxf>
              <font>
                <color rgb="FFFF0000"/>
              </font>
            </x14:dxf>
          </x14:cfRule>
          <xm:sqref>I6</xm:sqref>
        </x14:conditionalFormatting>
        <x14:conditionalFormatting xmlns:xm="http://schemas.microsoft.com/office/excel/2006/main">
          <x14:cfRule type="notContainsText" priority="10" operator="notContains" id="{1150EF2F-16B2-46EE-BFF0-53F1AACCCE28}">
            <xm:f>ISERROR(SEARCH("-",F9))</xm:f>
            <xm:f>"-"</xm:f>
            <x14:dxf>
              <font>
                <color rgb="FFFF0000"/>
              </font>
            </x14:dxf>
          </x14:cfRule>
          <x14:cfRule type="beginsWith" priority="11" operator="beginsWith" id="{675D57F0-7DC2-4B8C-B7D3-F7190443C7D8}">
            <xm:f>LEFT(F9,LEN("-"))="-"</xm:f>
            <xm:f>"-"</xm:f>
            <x14:dxf>
              <font>
                <color rgb="FF0070C0"/>
              </font>
            </x14:dxf>
          </x14:cfRule>
          <xm:sqref>F9:F308</xm:sqref>
        </x14:conditionalFormatting>
        <x14:conditionalFormatting xmlns:xm="http://schemas.microsoft.com/office/excel/2006/main">
          <x14:cfRule type="notContainsText" priority="8" operator="notContains" id="{C536A376-E1EF-437C-B2C8-A808ABC195D2}">
            <xm:f>ISERROR(SEARCH("-",K9))</xm:f>
            <xm:f>"-"</xm:f>
            <x14:dxf>
              <font>
                <color rgb="FFFF0000"/>
              </font>
            </x14:dxf>
          </x14:cfRule>
          <x14:cfRule type="beginsWith" priority="9" operator="beginsWith" id="{FCA5EC43-EC95-4C5B-80AA-7CD281936101}">
            <xm:f>LEFT(K9,LEN("-"))="-"</xm:f>
            <xm:f>"-"</xm:f>
            <x14:dxf>
              <font>
                <color rgb="FF0070C0"/>
              </font>
            </x14:dxf>
          </x14:cfRule>
          <xm:sqref>K9:K308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DD9A6-0576-4349-BDFB-72E57E817C47}">
  <sheetPr codeName="Sheet1"/>
  <dimension ref="A1:C101"/>
  <sheetViews>
    <sheetView topLeftCell="A4" zoomScale="70" zoomScaleNormal="70" workbookViewId="0">
      <selection sqref="A1:C101"/>
    </sheetView>
  </sheetViews>
  <sheetFormatPr defaultRowHeight="16.5" x14ac:dyDescent="0.3"/>
  <cols>
    <col min="1" max="1" width="11.375" bestFit="1" customWidth="1"/>
    <col min="2" max="2" width="6.375" bestFit="1" customWidth="1"/>
    <col min="3" max="3" width="11.75" bestFit="1" customWidth="1"/>
  </cols>
  <sheetData>
    <row r="1" spans="1:3" x14ac:dyDescent="0.3">
      <c r="A1" s="65" t="s">
        <v>0</v>
      </c>
      <c r="B1" s="66" t="s">
        <v>1</v>
      </c>
      <c r="C1" s="67" t="s">
        <v>6</v>
      </c>
    </row>
    <row r="2" spans="1:3" x14ac:dyDescent="0.3">
      <c r="A2" s="61" t="s">
        <v>1877</v>
      </c>
      <c r="B2" s="60">
        <v>6800</v>
      </c>
      <c r="C2" s="64">
        <v>58204027</v>
      </c>
    </row>
    <row r="3" spans="1:3" x14ac:dyDescent="0.3">
      <c r="A3" s="61" t="s">
        <v>1879</v>
      </c>
      <c r="B3" s="60">
        <v>5700</v>
      </c>
      <c r="C3" s="64">
        <v>30810473</v>
      </c>
    </row>
    <row r="4" spans="1:3" x14ac:dyDescent="0.3">
      <c r="A4" s="61" t="s">
        <v>1881</v>
      </c>
      <c r="B4" s="60">
        <v>5540</v>
      </c>
      <c r="C4" s="64">
        <v>79340193</v>
      </c>
    </row>
    <row r="5" spans="1:3" x14ac:dyDescent="0.3">
      <c r="A5" s="61" t="s">
        <v>1882</v>
      </c>
      <c r="B5" s="60">
        <v>5140</v>
      </c>
      <c r="C5" s="64">
        <v>14541417</v>
      </c>
    </row>
    <row r="6" spans="1:3" x14ac:dyDescent="0.3">
      <c r="A6" s="61" t="s">
        <v>1883</v>
      </c>
      <c r="B6" s="60">
        <v>5120</v>
      </c>
      <c r="C6" s="64">
        <v>11319009</v>
      </c>
    </row>
    <row r="7" spans="1:3" x14ac:dyDescent="0.3">
      <c r="A7" s="61" t="s">
        <v>1885</v>
      </c>
      <c r="B7" s="60">
        <v>4775</v>
      </c>
      <c r="C7" s="64">
        <v>6154340</v>
      </c>
    </row>
    <row r="8" spans="1:3" x14ac:dyDescent="0.3">
      <c r="A8" s="61" t="s">
        <v>1886</v>
      </c>
      <c r="B8" s="60">
        <v>4775</v>
      </c>
      <c r="C8" s="64">
        <v>9640388</v>
      </c>
    </row>
    <row r="9" spans="1:3" x14ac:dyDescent="0.3">
      <c r="A9" s="61" t="s">
        <v>1888</v>
      </c>
      <c r="B9" s="60">
        <v>4995</v>
      </c>
      <c r="C9" s="64">
        <v>32132219</v>
      </c>
    </row>
    <row r="10" spans="1:3" x14ac:dyDescent="0.3">
      <c r="A10" s="61" t="s">
        <v>1889</v>
      </c>
      <c r="B10" s="60">
        <v>4725</v>
      </c>
      <c r="C10" s="64">
        <v>2992187</v>
      </c>
    </row>
    <row r="11" spans="1:3" x14ac:dyDescent="0.3">
      <c r="A11" s="61" t="s">
        <v>1890</v>
      </c>
      <c r="B11" s="60">
        <v>4665</v>
      </c>
      <c r="C11" s="64">
        <v>1603962</v>
      </c>
    </row>
    <row r="12" spans="1:3" x14ac:dyDescent="0.3">
      <c r="A12" s="61" t="s">
        <v>1861</v>
      </c>
      <c r="B12" s="60">
        <v>4800</v>
      </c>
      <c r="C12" s="64">
        <v>5823645</v>
      </c>
    </row>
    <row r="13" spans="1:3" x14ac:dyDescent="0.3">
      <c r="A13" s="61" t="s">
        <v>1862</v>
      </c>
      <c r="B13" s="60">
        <v>4650</v>
      </c>
      <c r="C13" s="64">
        <v>3243471</v>
      </c>
    </row>
    <row r="14" spans="1:3" x14ac:dyDescent="0.3">
      <c r="A14" s="61" t="s">
        <v>1863</v>
      </c>
      <c r="B14" s="60">
        <v>4550</v>
      </c>
      <c r="C14" s="64">
        <v>3165736</v>
      </c>
    </row>
    <row r="15" spans="1:3" x14ac:dyDescent="0.3">
      <c r="A15" s="61" t="s">
        <v>1864</v>
      </c>
      <c r="B15" s="60">
        <v>4500</v>
      </c>
      <c r="C15" s="64">
        <v>3697113</v>
      </c>
    </row>
    <row r="16" spans="1:3" x14ac:dyDescent="0.3">
      <c r="A16" s="61" t="s">
        <v>1866</v>
      </c>
      <c r="B16" s="60">
        <v>4760</v>
      </c>
      <c r="C16" s="64">
        <v>4447122</v>
      </c>
    </row>
    <row r="17" spans="1:3" x14ac:dyDescent="0.3">
      <c r="A17" s="61" t="s">
        <v>1868</v>
      </c>
      <c r="B17" s="60">
        <v>4655</v>
      </c>
      <c r="C17" s="64">
        <v>10267676</v>
      </c>
    </row>
    <row r="18" spans="1:3" x14ac:dyDescent="0.3">
      <c r="A18" s="61" t="s">
        <v>1869</v>
      </c>
      <c r="B18" s="60">
        <v>4815</v>
      </c>
      <c r="C18" s="64">
        <v>14633585</v>
      </c>
    </row>
    <row r="19" spans="1:3" x14ac:dyDescent="0.3">
      <c r="A19" s="61" t="s">
        <v>1871</v>
      </c>
      <c r="B19" s="60">
        <v>5680</v>
      </c>
      <c r="C19" s="64">
        <v>68260768</v>
      </c>
    </row>
    <row r="20" spans="1:3" x14ac:dyDescent="0.3">
      <c r="A20" s="61" t="s">
        <v>1873</v>
      </c>
      <c r="B20" s="60">
        <v>5150</v>
      </c>
      <c r="C20" s="64">
        <v>9607690</v>
      </c>
    </row>
    <row r="21" spans="1:3" x14ac:dyDescent="0.3">
      <c r="A21" s="61" t="s">
        <v>1875</v>
      </c>
      <c r="B21" s="60">
        <v>5280</v>
      </c>
      <c r="C21" s="64">
        <v>45477769</v>
      </c>
    </row>
    <row r="22" spans="1:3" x14ac:dyDescent="0.3">
      <c r="A22" s="61" t="s">
        <v>1845</v>
      </c>
      <c r="B22" s="60">
        <v>5170</v>
      </c>
      <c r="C22" s="64">
        <v>19595429</v>
      </c>
    </row>
    <row r="23" spans="1:3" x14ac:dyDescent="0.3">
      <c r="A23" s="61" t="s">
        <v>1846</v>
      </c>
      <c r="B23" s="60">
        <v>5190</v>
      </c>
      <c r="C23" s="64">
        <v>43822618</v>
      </c>
    </row>
    <row r="24" spans="1:3" x14ac:dyDescent="0.3">
      <c r="A24" s="61" t="s">
        <v>1848</v>
      </c>
      <c r="B24" s="60">
        <v>4860</v>
      </c>
      <c r="C24" s="64">
        <v>9129843</v>
      </c>
    </row>
    <row r="25" spans="1:3" x14ac:dyDescent="0.3">
      <c r="A25" s="61" t="s">
        <v>1850</v>
      </c>
      <c r="B25" s="60">
        <v>4815</v>
      </c>
      <c r="C25" s="64">
        <v>12594219</v>
      </c>
    </row>
    <row r="26" spans="1:3" x14ac:dyDescent="0.3">
      <c r="A26" s="61" t="s">
        <v>1852</v>
      </c>
      <c r="B26" s="60">
        <v>5250</v>
      </c>
      <c r="C26" s="64">
        <v>53787359</v>
      </c>
    </row>
    <row r="27" spans="1:3" x14ac:dyDescent="0.3">
      <c r="A27" s="61" t="s">
        <v>1854</v>
      </c>
      <c r="B27" s="60">
        <v>4580</v>
      </c>
      <c r="C27" s="64">
        <v>8411036</v>
      </c>
    </row>
    <row r="28" spans="1:3" x14ac:dyDescent="0.3">
      <c r="A28" s="61" t="s">
        <v>1856</v>
      </c>
      <c r="B28" s="60">
        <v>4210</v>
      </c>
      <c r="C28" s="64">
        <v>1793833</v>
      </c>
    </row>
    <row r="29" spans="1:3" x14ac:dyDescent="0.3">
      <c r="A29" s="61" t="s">
        <v>1857</v>
      </c>
      <c r="B29" s="60">
        <v>4160</v>
      </c>
      <c r="C29" s="64">
        <v>2838270</v>
      </c>
    </row>
    <row r="30" spans="1:3" x14ac:dyDescent="0.3">
      <c r="A30" s="61" t="s">
        <v>1859</v>
      </c>
      <c r="B30" s="60">
        <v>4135</v>
      </c>
      <c r="C30" s="64">
        <v>1829722</v>
      </c>
    </row>
    <row r="31" spans="1:3" x14ac:dyDescent="0.3">
      <c r="A31" s="61" t="s">
        <v>1860</v>
      </c>
      <c r="B31" s="60">
        <v>4050</v>
      </c>
      <c r="C31" s="64">
        <v>1528822</v>
      </c>
    </row>
    <row r="32" spans="1:3" x14ac:dyDescent="0.3">
      <c r="A32" s="61" t="s">
        <v>1831</v>
      </c>
      <c r="B32" s="60">
        <v>4025</v>
      </c>
      <c r="C32" s="64">
        <v>2023570</v>
      </c>
    </row>
    <row r="33" spans="1:3" x14ac:dyDescent="0.3">
      <c r="A33" s="61" t="s">
        <v>1833</v>
      </c>
      <c r="B33" s="60">
        <v>3820</v>
      </c>
      <c r="C33" s="64">
        <v>2268693</v>
      </c>
    </row>
    <row r="34" spans="1:3" x14ac:dyDescent="0.3">
      <c r="A34" s="61" t="s">
        <v>1834</v>
      </c>
      <c r="B34" s="60">
        <v>3970</v>
      </c>
      <c r="C34" s="64">
        <v>2018251</v>
      </c>
    </row>
    <row r="35" spans="1:3" x14ac:dyDescent="0.3">
      <c r="A35" s="61" t="s">
        <v>1836</v>
      </c>
      <c r="B35" s="60">
        <v>4105</v>
      </c>
      <c r="C35" s="64">
        <v>1705172</v>
      </c>
    </row>
    <row r="36" spans="1:3" x14ac:dyDescent="0.3">
      <c r="A36" s="61" t="s">
        <v>1837</v>
      </c>
      <c r="B36" s="60">
        <v>4240</v>
      </c>
      <c r="C36" s="64">
        <v>2688047</v>
      </c>
    </row>
    <row r="37" spans="1:3" x14ac:dyDescent="0.3">
      <c r="A37" s="61" t="s">
        <v>1838</v>
      </c>
      <c r="B37" s="60">
        <v>4270</v>
      </c>
      <c r="C37" s="64">
        <v>1967641</v>
      </c>
    </row>
    <row r="38" spans="1:3" x14ac:dyDescent="0.3">
      <c r="A38" s="61" t="s">
        <v>1839</v>
      </c>
      <c r="B38" s="60">
        <v>4295</v>
      </c>
      <c r="C38" s="64">
        <v>4717275</v>
      </c>
    </row>
    <row r="39" spans="1:3" x14ac:dyDescent="0.3">
      <c r="A39" s="61" t="s">
        <v>1841</v>
      </c>
      <c r="B39" s="60">
        <v>4570</v>
      </c>
      <c r="C39" s="64">
        <v>6006249</v>
      </c>
    </row>
    <row r="40" spans="1:3" x14ac:dyDescent="0.3">
      <c r="A40" s="61" t="s">
        <v>1843</v>
      </c>
      <c r="B40" s="60">
        <v>4435</v>
      </c>
      <c r="C40" s="64">
        <v>2600638</v>
      </c>
    </row>
    <row r="41" spans="1:3" x14ac:dyDescent="0.3">
      <c r="A41" s="61" t="s">
        <v>1844</v>
      </c>
      <c r="B41" s="60">
        <v>4420</v>
      </c>
      <c r="C41" s="64">
        <v>3245432</v>
      </c>
    </row>
    <row r="42" spans="1:3" x14ac:dyDescent="0.3">
      <c r="A42" s="61" t="s">
        <v>1814</v>
      </c>
      <c r="B42" s="60">
        <v>4430</v>
      </c>
      <c r="C42" s="64">
        <v>3955794</v>
      </c>
    </row>
    <row r="43" spans="1:3" x14ac:dyDescent="0.3">
      <c r="A43" s="61" t="s">
        <v>1816</v>
      </c>
      <c r="B43" s="60">
        <v>4715</v>
      </c>
      <c r="C43" s="64">
        <v>3524907</v>
      </c>
    </row>
    <row r="44" spans="1:3" x14ac:dyDescent="0.3">
      <c r="A44" s="61" t="s">
        <v>1818</v>
      </c>
      <c r="B44" s="60">
        <v>4870</v>
      </c>
      <c r="C44" s="64">
        <v>5590992</v>
      </c>
    </row>
    <row r="45" spans="1:3" x14ac:dyDescent="0.3">
      <c r="A45" s="61" t="s">
        <v>1820</v>
      </c>
      <c r="B45" s="60">
        <v>4850</v>
      </c>
      <c r="C45" s="64">
        <v>5230589</v>
      </c>
    </row>
    <row r="46" spans="1:3" x14ac:dyDescent="0.3">
      <c r="A46" s="61" t="s">
        <v>1822</v>
      </c>
      <c r="B46" s="60">
        <v>4910</v>
      </c>
      <c r="C46" s="64">
        <v>9729660</v>
      </c>
    </row>
    <row r="47" spans="1:3" x14ac:dyDescent="0.3">
      <c r="A47" s="61" t="s">
        <v>1824</v>
      </c>
      <c r="B47" s="60">
        <v>5090</v>
      </c>
      <c r="C47" s="64">
        <v>26176454</v>
      </c>
    </row>
    <row r="48" spans="1:3" x14ac:dyDescent="0.3">
      <c r="A48" s="61" t="s">
        <v>1825</v>
      </c>
      <c r="B48" s="60">
        <v>5790</v>
      </c>
      <c r="C48" s="64">
        <v>129199637</v>
      </c>
    </row>
    <row r="49" spans="1:3" x14ac:dyDescent="0.3">
      <c r="A49" s="61" t="s">
        <v>1827</v>
      </c>
      <c r="B49" s="60">
        <v>5210</v>
      </c>
      <c r="C49" s="64">
        <v>20754467</v>
      </c>
    </row>
    <row r="50" spans="1:3" x14ac:dyDescent="0.3">
      <c r="A50" s="61" t="s">
        <v>1829</v>
      </c>
      <c r="B50" s="60">
        <v>5240</v>
      </c>
      <c r="C50" s="64">
        <v>34410439</v>
      </c>
    </row>
    <row r="51" spans="1:3" x14ac:dyDescent="0.3">
      <c r="A51" s="61" t="s">
        <v>1830</v>
      </c>
      <c r="B51" s="60">
        <v>4890</v>
      </c>
      <c r="C51" s="64">
        <v>5861613</v>
      </c>
    </row>
    <row r="52" spans="1:3" x14ac:dyDescent="0.3">
      <c r="A52" s="61" t="s">
        <v>1803</v>
      </c>
      <c r="B52" s="60">
        <v>5140</v>
      </c>
      <c r="C52" s="64">
        <v>15704465</v>
      </c>
    </row>
    <row r="53" spans="1:3" x14ac:dyDescent="0.3">
      <c r="A53" s="61" t="s">
        <v>1602</v>
      </c>
      <c r="B53" s="60">
        <v>4870</v>
      </c>
      <c r="C53" s="64">
        <v>15478822</v>
      </c>
    </row>
    <row r="54" spans="1:3" x14ac:dyDescent="0.3">
      <c r="A54" s="61" t="s">
        <v>1603</v>
      </c>
      <c r="B54" s="60">
        <v>4725</v>
      </c>
      <c r="C54" s="64">
        <v>5104964</v>
      </c>
    </row>
    <row r="55" spans="1:3" x14ac:dyDescent="0.3">
      <c r="A55" s="61" t="s">
        <v>1604</v>
      </c>
      <c r="B55" s="60">
        <v>4695</v>
      </c>
      <c r="C55" s="64">
        <v>16136782</v>
      </c>
    </row>
    <row r="56" spans="1:3" x14ac:dyDescent="0.3">
      <c r="A56" s="61" t="s">
        <v>1566</v>
      </c>
      <c r="B56" s="60">
        <v>4680</v>
      </c>
      <c r="C56" s="64">
        <v>5692933</v>
      </c>
    </row>
    <row r="57" spans="1:3" x14ac:dyDescent="0.3">
      <c r="A57" s="61" t="s">
        <v>1567</v>
      </c>
      <c r="B57" s="60">
        <v>4845</v>
      </c>
      <c r="C57" s="64">
        <v>16888511</v>
      </c>
    </row>
    <row r="58" spans="1:3" x14ac:dyDescent="0.3">
      <c r="A58" s="61" t="s">
        <v>1568</v>
      </c>
      <c r="B58" s="60">
        <v>4915</v>
      </c>
      <c r="C58" s="64">
        <v>8015345</v>
      </c>
    </row>
    <row r="59" spans="1:3" x14ac:dyDescent="0.3">
      <c r="A59" s="61" t="s">
        <v>1569</v>
      </c>
      <c r="B59" s="60">
        <v>5370</v>
      </c>
      <c r="C59" s="64">
        <v>10105464</v>
      </c>
    </row>
    <row r="60" spans="1:3" x14ac:dyDescent="0.3">
      <c r="A60" s="61" t="s">
        <v>1542</v>
      </c>
      <c r="B60" s="60">
        <v>5380</v>
      </c>
      <c r="C60" s="64">
        <v>23480146</v>
      </c>
    </row>
    <row r="61" spans="1:3" x14ac:dyDescent="0.3">
      <c r="A61" s="61" t="s">
        <v>1543</v>
      </c>
      <c r="B61" s="60">
        <v>5550</v>
      </c>
      <c r="C61" s="64">
        <v>68618541</v>
      </c>
    </row>
    <row r="62" spans="1:3" x14ac:dyDescent="0.3">
      <c r="A62" s="61" t="s">
        <v>1544</v>
      </c>
      <c r="B62" s="60">
        <v>5030</v>
      </c>
      <c r="C62" s="64">
        <v>4360714</v>
      </c>
    </row>
    <row r="63" spans="1:3" x14ac:dyDescent="0.3">
      <c r="A63" s="61" t="s">
        <v>1545</v>
      </c>
      <c r="B63" s="60">
        <v>5050</v>
      </c>
      <c r="C63" s="64">
        <v>23456635</v>
      </c>
    </row>
    <row r="64" spans="1:3" x14ac:dyDescent="0.3">
      <c r="A64" s="61" t="s">
        <v>1528</v>
      </c>
      <c r="B64" s="60">
        <v>4885</v>
      </c>
      <c r="C64" s="64">
        <v>4691785</v>
      </c>
    </row>
    <row r="65" spans="1:3" x14ac:dyDescent="0.3">
      <c r="A65" s="61" t="s">
        <v>1529</v>
      </c>
      <c r="B65" s="60">
        <v>4845</v>
      </c>
      <c r="C65" s="64">
        <v>6642166</v>
      </c>
    </row>
    <row r="66" spans="1:3" x14ac:dyDescent="0.3">
      <c r="A66" s="61" t="s">
        <v>1530</v>
      </c>
      <c r="B66" s="60">
        <v>4755</v>
      </c>
      <c r="C66" s="64">
        <v>10882441</v>
      </c>
    </row>
    <row r="67" spans="1:3" x14ac:dyDescent="0.3">
      <c r="A67" s="61" t="s">
        <v>1531</v>
      </c>
      <c r="B67" s="60">
        <v>4780</v>
      </c>
      <c r="C67" s="64">
        <v>8336569</v>
      </c>
    </row>
    <row r="68" spans="1:3" x14ac:dyDescent="0.3">
      <c r="A68" s="61" t="s">
        <v>1532</v>
      </c>
      <c r="B68" s="60">
        <v>5010</v>
      </c>
      <c r="C68" s="64">
        <v>6142927</v>
      </c>
    </row>
    <row r="69" spans="1:3" x14ac:dyDescent="0.3">
      <c r="A69" s="61" t="s">
        <v>1533</v>
      </c>
      <c r="B69" s="60">
        <v>5130</v>
      </c>
      <c r="C69" s="64">
        <v>5940156</v>
      </c>
    </row>
    <row r="70" spans="1:3" x14ac:dyDescent="0.3">
      <c r="A70" s="61" t="s">
        <v>1520</v>
      </c>
      <c r="B70" s="60">
        <v>5340</v>
      </c>
      <c r="C70" s="64">
        <v>5494170</v>
      </c>
    </row>
    <row r="71" spans="1:3" x14ac:dyDescent="0.3">
      <c r="A71" s="61" t="s">
        <v>1513</v>
      </c>
      <c r="B71" s="60">
        <v>5280</v>
      </c>
      <c r="C71" s="64">
        <v>6654793</v>
      </c>
    </row>
    <row r="72" spans="1:3" x14ac:dyDescent="0.3">
      <c r="A72" s="61" t="s">
        <v>1514</v>
      </c>
      <c r="B72" s="60">
        <v>5550</v>
      </c>
      <c r="C72" s="64">
        <v>7472404</v>
      </c>
    </row>
    <row r="73" spans="1:3" x14ac:dyDescent="0.3">
      <c r="A73" s="61" t="s">
        <v>1203</v>
      </c>
      <c r="B73" s="60">
        <v>5600</v>
      </c>
      <c r="C73" s="64">
        <v>29278721</v>
      </c>
    </row>
    <row r="74" spans="1:3" x14ac:dyDescent="0.3">
      <c r="A74" s="61" t="s">
        <v>1202</v>
      </c>
      <c r="B74" s="60">
        <v>5420</v>
      </c>
      <c r="C74" s="64">
        <v>9605588</v>
      </c>
    </row>
    <row r="75" spans="1:3" x14ac:dyDescent="0.3">
      <c r="A75" s="61" t="s">
        <v>1166</v>
      </c>
      <c r="B75" s="60">
        <v>5290</v>
      </c>
      <c r="C75" s="64">
        <v>11565614</v>
      </c>
    </row>
    <row r="76" spans="1:3" x14ac:dyDescent="0.3">
      <c r="A76" s="61" t="s">
        <v>1155</v>
      </c>
      <c r="B76" s="60">
        <v>5570</v>
      </c>
      <c r="C76" s="64">
        <v>15788427</v>
      </c>
    </row>
    <row r="77" spans="1:3" x14ac:dyDescent="0.3">
      <c r="A77" s="61" t="s">
        <v>1156</v>
      </c>
      <c r="B77" s="60">
        <v>5760</v>
      </c>
      <c r="C77" s="64">
        <v>48380030</v>
      </c>
    </row>
    <row r="78" spans="1:3" x14ac:dyDescent="0.3">
      <c r="A78" s="61" t="s">
        <v>1157</v>
      </c>
      <c r="B78" s="60">
        <v>5550</v>
      </c>
      <c r="C78" s="64">
        <v>150637941</v>
      </c>
    </row>
    <row r="79" spans="1:3" x14ac:dyDescent="0.3">
      <c r="A79" s="61" t="s">
        <v>1072</v>
      </c>
      <c r="B79" s="60">
        <v>5190</v>
      </c>
      <c r="C79" s="64">
        <v>12011560</v>
      </c>
    </row>
    <row r="80" spans="1:3" x14ac:dyDescent="0.3">
      <c r="A80" s="61" t="s">
        <v>1073</v>
      </c>
      <c r="B80" s="60">
        <v>5190</v>
      </c>
      <c r="C80" s="64">
        <v>17894755</v>
      </c>
    </row>
    <row r="81" spans="1:3" x14ac:dyDescent="0.3">
      <c r="A81" s="61" t="s">
        <v>1058</v>
      </c>
      <c r="B81" s="60">
        <v>5300</v>
      </c>
      <c r="C81" s="64">
        <v>89383226</v>
      </c>
    </row>
    <row r="82" spans="1:3" x14ac:dyDescent="0.3">
      <c r="A82" s="61" t="s">
        <v>1045</v>
      </c>
      <c r="B82" s="60">
        <v>5290</v>
      </c>
      <c r="C82" s="64">
        <v>140513641</v>
      </c>
    </row>
    <row r="83" spans="1:3" x14ac:dyDescent="0.3">
      <c r="A83" s="61" t="s">
        <v>1033</v>
      </c>
      <c r="B83" s="60">
        <v>4250</v>
      </c>
      <c r="C83" s="64">
        <v>36889473</v>
      </c>
    </row>
    <row r="84" spans="1:3" x14ac:dyDescent="0.3">
      <c r="A84" s="61" t="s">
        <v>1034</v>
      </c>
      <c r="B84" s="60">
        <v>4185</v>
      </c>
      <c r="C84" s="64">
        <v>12577370</v>
      </c>
    </row>
    <row r="85" spans="1:3" x14ac:dyDescent="0.3">
      <c r="A85" s="61" t="s">
        <v>1035</v>
      </c>
      <c r="B85" s="60">
        <v>4325</v>
      </c>
      <c r="C85" s="64">
        <v>88471972</v>
      </c>
    </row>
    <row r="86" spans="1:3" x14ac:dyDescent="0.3">
      <c r="A86" s="61" t="s">
        <v>1036</v>
      </c>
      <c r="B86" s="60">
        <v>4240</v>
      </c>
      <c r="C86" s="64">
        <v>24503184</v>
      </c>
    </row>
    <row r="87" spans="1:3" x14ac:dyDescent="0.3">
      <c r="A87" s="61" t="s">
        <v>1037</v>
      </c>
      <c r="B87" s="60">
        <v>4205</v>
      </c>
      <c r="C87" s="64">
        <v>15491963</v>
      </c>
    </row>
    <row r="88" spans="1:3" x14ac:dyDescent="0.3">
      <c r="A88" s="61" t="s">
        <v>1019</v>
      </c>
      <c r="B88" s="60">
        <v>4400</v>
      </c>
      <c r="C88" s="64">
        <v>14467968</v>
      </c>
    </row>
    <row r="89" spans="1:3" x14ac:dyDescent="0.3">
      <c r="A89" s="61" t="s">
        <v>1020</v>
      </c>
      <c r="B89" s="60">
        <v>4640</v>
      </c>
      <c r="C89" s="64">
        <v>40776553</v>
      </c>
    </row>
    <row r="90" spans="1:3" x14ac:dyDescent="0.3">
      <c r="A90" s="61" t="s">
        <v>1021</v>
      </c>
      <c r="B90" s="60">
        <v>4720</v>
      </c>
      <c r="C90" s="64">
        <v>122952718</v>
      </c>
    </row>
    <row r="91" spans="1:3" x14ac:dyDescent="0.3">
      <c r="A91" s="61" t="s">
        <v>1022</v>
      </c>
      <c r="B91" s="60">
        <v>3810</v>
      </c>
      <c r="C91" s="64">
        <v>53729701</v>
      </c>
    </row>
    <row r="92" spans="1:3" x14ac:dyDescent="0.3">
      <c r="A92" s="61" t="s">
        <v>1023</v>
      </c>
      <c r="B92" s="60">
        <v>3370</v>
      </c>
      <c r="C92" s="64">
        <v>34591136</v>
      </c>
    </row>
    <row r="93" spans="1:3" x14ac:dyDescent="0.3">
      <c r="A93" s="61" t="s">
        <v>1024</v>
      </c>
      <c r="B93" s="60">
        <v>3295</v>
      </c>
      <c r="C93" s="64">
        <v>14485366</v>
      </c>
    </row>
    <row r="94" spans="1:3" x14ac:dyDescent="0.3">
      <c r="A94" s="61" t="s">
        <v>1025</v>
      </c>
      <c r="B94" s="60">
        <v>3390</v>
      </c>
      <c r="C94" s="64">
        <v>19502259</v>
      </c>
    </row>
    <row r="95" spans="1:3" x14ac:dyDescent="0.3">
      <c r="A95" s="61" t="s">
        <v>1026</v>
      </c>
      <c r="B95" s="60">
        <v>3320</v>
      </c>
      <c r="C95" s="64">
        <v>50161425</v>
      </c>
    </row>
    <row r="96" spans="1:3" x14ac:dyDescent="0.3">
      <c r="A96" s="61" t="s">
        <v>1027</v>
      </c>
      <c r="B96" s="60">
        <v>3270</v>
      </c>
      <c r="C96" s="64">
        <v>11513238</v>
      </c>
    </row>
    <row r="97" spans="1:3" x14ac:dyDescent="0.3">
      <c r="A97" s="61" t="s">
        <v>1028</v>
      </c>
      <c r="B97" s="60">
        <v>3395</v>
      </c>
      <c r="C97" s="64">
        <v>53754157</v>
      </c>
    </row>
    <row r="98" spans="1:3" x14ac:dyDescent="0.3">
      <c r="A98" s="61" t="s">
        <v>1015</v>
      </c>
      <c r="B98" s="60">
        <v>3120</v>
      </c>
      <c r="C98" s="64">
        <v>56971577</v>
      </c>
    </row>
    <row r="99" spans="1:3" x14ac:dyDescent="0.3">
      <c r="A99" s="61" t="s">
        <v>1009</v>
      </c>
      <c r="B99" s="60">
        <v>3280</v>
      </c>
      <c r="C99" s="64">
        <v>68691266</v>
      </c>
    </row>
    <row r="100" spans="1:3" x14ac:dyDescent="0.3">
      <c r="A100" s="61" t="s">
        <v>924</v>
      </c>
      <c r="B100" s="60">
        <v>3420</v>
      </c>
      <c r="C100" s="64">
        <v>81223291</v>
      </c>
    </row>
    <row r="101" spans="1:3" ht="17.25" thickBot="1" x14ac:dyDescent="0.35">
      <c r="A101" s="62" t="s">
        <v>925</v>
      </c>
      <c r="B101" s="63">
        <v>3850</v>
      </c>
      <c r="C101" s="68">
        <v>74934158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주가가져오기_원본">
                <anchor>
                  <from>
                    <xdr:col>3</xdr:col>
                    <xdr:colOff>361950</xdr:colOff>
                    <xdr:row>0</xdr:row>
                    <xdr:rowOff>0</xdr:rowOff>
                  </from>
                  <to>
                    <xdr:col>6</xdr:col>
                    <xdr:colOff>361950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정렬">
                <anchor>
                  <from>
                    <xdr:col>3</xdr:col>
                    <xdr:colOff>361950</xdr:colOff>
                    <xdr:row>3</xdr:row>
                    <xdr:rowOff>200025</xdr:rowOff>
                  </from>
                  <to>
                    <xdr:col>6</xdr:col>
                    <xdr:colOff>361950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Historical_Volatility">
                <anchor>
                  <from>
                    <xdr:col>3</xdr:col>
                    <xdr:colOff>361950</xdr:colOff>
                    <xdr:row>8</xdr:row>
                    <xdr:rowOff>0</xdr:rowOff>
                  </from>
                  <to>
                    <xdr:col>8</xdr:col>
                    <xdr:colOff>361950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57A2A-53C1-47D7-B437-4043A8B28E60}">
  <sheetPr codeName="Sheet2"/>
  <dimension ref="A1:ARB15"/>
  <sheetViews>
    <sheetView zoomScale="70" zoomScaleNormal="70" workbookViewId="0">
      <selection activeCell="A14" sqref="A14:XFD14"/>
    </sheetView>
  </sheetViews>
  <sheetFormatPr defaultRowHeight="16.5" x14ac:dyDescent="0.3"/>
  <cols>
    <col min="1" max="1" width="18" style="58" bestFit="1" customWidth="1"/>
    <col min="2" max="2" width="6.75" style="58" bestFit="1" customWidth="1"/>
    <col min="3" max="3" width="11" style="58" bestFit="1" customWidth="1"/>
    <col min="4" max="6" width="6.75" style="58" bestFit="1" customWidth="1"/>
    <col min="7" max="7" width="11.375" style="58" bestFit="1" customWidth="1"/>
    <col min="8" max="8" width="18" style="58" bestFit="1" customWidth="1"/>
    <col min="9" max="9" width="6.75" style="58" bestFit="1" customWidth="1"/>
    <col min="10" max="10" width="9.625" style="58" bestFit="1" customWidth="1"/>
    <col min="11" max="13" width="6.75" style="58" bestFit="1" customWidth="1"/>
    <col min="14" max="14" width="11.375" style="58" bestFit="1" customWidth="1"/>
    <col min="15" max="15" width="18" style="58" bestFit="1" customWidth="1"/>
    <col min="16" max="16" width="6.75" style="58" bestFit="1" customWidth="1"/>
    <col min="17" max="17" width="9.625" style="58" bestFit="1" customWidth="1"/>
    <col min="18" max="20" width="6.75" style="58" bestFit="1" customWidth="1"/>
    <col min="21" max="21" width="11.375" style="58" bestFit="1" customWidth="1"/>
    <col min="22" max="22" width="18" style="58" bestFit="1" customWidth="1"/>
    <col min="23" max="23" width="6.75" style="58" bestFit="1" customWidth="1"/>
    <col min="24" max="24" width="9.625" style="58" bestFit="1" customWidth="1"/>
    <col min="25" max="27" width="6.75" style="58" bestFit="1" customWidth="1"/>
    <col min="28" max="28" width="10.25" style="58" bestFit="1" customWidth="1"/>
    <col min="29" max="29" width="18" style="58" bestFit="1" customWidth="1"/>
    <col min="30" max="30" width="6.75" style="58" bestFit="1" customWidth="1"/>
    <col min="31" max="31" width="9.625" style="58" bestFit="1" customWidth="1"/>
    <col min="32" max="34" width="6.75" style="58" bestFit="1" customWidth="1"/>
    <col min="35" max="35" width="12.625" style="58" bestFit="1" customWidth="1"/>
    <col min="36" max="36" width="18" style="58" bestFit="1" customWidth="1"/>
    <col min="37" max="37" width="6.75" style="58" bestFit="1" customWidth="1"/>
    <col min="38" max="38" width="9.625" style="58" bestFit="1" customWidth="1"/>
    <col min="39" max="41" width="6.75" style="58" bestFit="1" customWidth="1"/>
    <col min="42" max="42" width="11.375" style="58" bestFit="1" customWidth="1"/>
    <col min="43" max="43" width="18" style="58" bestFit="1" customWidth="1"/>
    <col min="44" max="44" width="6.75" style="58" bestFit="1" customWidth="1"/>
    <col min="45" max="45" width="9.625" style="58" bestFit="1" customWidth="1"/>
    <col min="46" max="48" width="6.75" style="58" bestFit="1" customWidth="1"/>
    <col min="49" max="49" width="11.375" style="58" bestFit="1" customWidth="1"/>
    <col min="50" max="50" width="18" style="58" bestFit="1" customWidth="1"/>
    <col min="51" max="51" width="6.75" style="58" bestFit="1" customWidth="1"/>
    <col min="52" max="52" width="9.625" style="58" bestFit="1" customWidth="1"/>
    <col min="53" max="55" width="6.75" style="58" bestFit="1" customWidth="1"/>
    <col min="56" max="56" width="12.625" style="58" bestFit="1" customWidth="1"/>
    <col min="57" max="57" width="18" style="58" bestFit="1" customWidth="1"/>
    <col min="58" max="58" width="6.75" style="58" bestFit="1" customWidth="1"/>
    <col min="59" max="59" width="11" style="58" bestFit="1" customWidth="1"/>
    <col min="60" max="62" width="6.75" style="58" bestFit="1" customWidth="1"/>
    <col min="63" max="63" width="12.625" style="58" bestFit="1" customWidth="1"/>
    <col min="64" max="64" width="18" style="58" bestFit="1" customWidth="1"/>
    <col min="65" max="65" width="6.75" style="58" bestFit="1" customWidth="1"/>
    <col min="66" max="66" width="9.625" style="58" bestFit="1" customWidth="1"/>
    <col min="67" max="69" width="6.75" style="58" bestFit="1" customWidth="1"/>
    <col min="70" max="70" width="11.375" style="58" bestFit="1" customWidth="1"/>
    <col min="71" max="71" width="8.875" style="58" bestFit="1" customWidth="1"/>
    <col min="72" max="72" width="18" style="58" bestFit="1" customWidth="1"/>
    <col min="73" max="73" width="7.75" style="58" bestFit="1" customWidth="1"/>
    <col min="74" max="74" width="11" style="58" bestFit="1" customWidth="1"/>
    <col min="75" max="77" width="7.75" style="58" bestFit="1" customWidth="1"/>
    <col min="78" max="78" width="8.875" style="58" bestFit="1" customWidth="1"/>
    <col min="79" max="79" width="18" style="58" bestFit="1" customWidth="1"/>
    <col min="80" max="80" width="7.75" style="58" bestFit="1" customWidth="1"/>
    <col min="81" max="81" width="11" style="58" bestFit="1" customWidth="1"/>
    <col min="82" max="84" width="7.75" style="58" bestFit="1" customWidth="1"/>
    <col min="85" max="85" width="8.875" style="58" bestFit="1" customWidth="1"/>
    <col min="86" max="86" width="18" style="58" bestFit="1" customWidth="1"/>
    <col min="87" max="87" width="7.75" style="58" bestFit="1" customWidth="1"/>
    <col min="88" max="88" width="11" style="58" bestFit="1" customWidth="1"/>
    <col min="89" max="91" width="7.75" style="58" bestFit="1" customWidth="1"/>
    <col min="92" max="92" width="10.25" style="58" bestFit="1" customWidth="1"/>
    <col min="93" max="93" width="18" style="58" bestFit="1" customWidth="1"/>
    <col min="94" max="94" width="7.75" style="58" bestFit="1" customWidth="1"/>
    <col min="95" max="95" width="11" style="58" bestFit="1" customWidth="1"/>
    <col min="96" max="98" width="7.75" style="58" bestFit="1" customWidth="1"/>
    <col min="99" max="99" width="10.25" style="58" bestFit="1" customWidth="1"/>
    <col min="100" max="100" width="18" style="58" bestFit="1" customWidth="1"/>
    <col min="101" max="101" width="7.75" style="58" bestFit="1" customWidth="1"/>
    <col min="102" max="102" width="11" style="58" bestFit="1" customWidth="1"/>
    <col min="103" max="105" width="7.75" style="58" bestFit="1" customWidth="1"/>
    <col min="106" max="106" width="10.25" style="58" bestFit="1" customWidth="1"/>
    <col min="107" max="107" width="18" style="58" bestFit="1" customWidth="1"/>
    <col min="108" max="108" width="7.75" style="58" bestFit="1" customWidth="1"/>
    <col min="109" max="109" width="11" style="58" bestFit="1" customWidth="1"/>
    <col min="110" max="112" width="7.75" style="58" bestFit="1" customWidth="1"/>
    <col min="113" max="113" width="10.25" style="58" bestFit="1" customWidth="1"/>
    <col min="114" max="114" width="18" style="58" bestFit="1" customWidth="1"/>
    <col min="115" max="115" width="7.75" style="58" bestFit="1" customWidth="1"/>
    <col min="116" max="116" width="9.625" style="58" bestFit="1" customWidth="1"/>
    <col min="117" max="119" width="7.75" style="58" bestFit="1" customWidth="1"/>
    <col min="120" max="120" width="8.875" style="58" bestFit="1" customWidth="1"/>
    <col min="121" max="121" width="18" style="58" bestFit="1" customWidth="1"/>
    <col min="122" max="122" width="7.75" style="58" bestFit="1" customWidth="1"/>
    <col min="123" max="123" width="11" style="58" bestFit="1" customWidth="1"/>
    <col min="124" max="126" width="7.75" style="58" bestFit="1" customWidth="1"/>
    <col min="127" max="128" width="10.25" style="58" bestFit="1" customWidth="1"/>
    <col min="129" max="129" width="18" style="58" bestFit="1" customWidth="1"/>
    <col min="130" max="130" width="6.75" style="58" bestFit="1" customWidth="1"/>
    <col min="131" max="131" width="9.625" style="58" bestFit="1" customWidth="1"/>
    <col min="132" max="134" width="6.75" style="58" bestFit="1" customWidth="1"/>
    <col min="135" max="135" width="8.875" style="58" bestFit="1" customWidth="1"/>
    <col min="136" max="136" width="18" style="58" bestFit="1" customWidth="1"/>
    <col min="137" max="137" width="6.75" style="58" bestFit="1" customWidth="1"/>
    <col min="138" max="138" width="9.625" style="58" bestFit="1" customWidth="1"/>
    <col min="139" max="141" width="6.75" style="58" bestFit="1" customWidth="1"/>
    <col min="142" max="142" width="8.875" style="58" bestFit="1" customWidth="1"/>
    <col min="143" max="143" width="18" style="58" bestFit="1" customWidth="1"/>
    <col min="144" max="144" width="6.75" style="58" bestFit="1" customWidth="1"/>
    <col min="145" max="145" width="9.625" style="58" bestFit="1" customWidth="1"/>
    <col min="146" max="148" width="6.75" style="58" bestFit="1" customWidth="1"/>
    <col min="149" max="149" width="8.875" style="58" bestFit="1" customWidth="1"/>
    <col min="150" max="150" width="18" style="58" bestFit="1" customWidth="1"/>
    <col min="151" max="151" width="6.75" style="58" bestFit="1" customWidth="1"/>
    <col min="152" max="152" width="9.625" style="58" bestFit="1" customWidth="1"/>
    <col min="153" max="155" width="6.75" style="58" bestFit="1" customWidth="1"/>
    <col min="156" max="156" width="8.875" style="58" bestFit="1" customWidth="1"/>
    <col min="157" max="157" width="18" style="58" bestFit="1" customWidth="1"/>
    <col min="158" max="158" width="6.75" style="58" bestFit="1" customWidth="1"/>
    <col min="159" max="159" width="9.625" style="58" bestFit="1" customWidth="1"/>
    <col min="160" max="162" width="6.75" style="58" bestFit="1" customWidth="1"/>
    <col min="163" max="163" width="8.875" style="58" bestFit="1" customWidth="1"/>
    <col min="164" max="164" width="18" style="58" bestFit="1" customWidth="1"/>
    <col min="165" max="165" width="6.75" style="58" bestFit="1" customWidth="1"/>
    <col min="166" max="166" width="9.625" style="58" bestFit="1" customWidth="1"/>
    <col min="167" max="169" width="6.75" style="58" bestFit="1" customWidth="1"/>
    <col min="170" max="170" width="8.875" style="58" bestFit="1" customWidth="1"/>
    <col min="171" max="171" width="18" style="58" bestFit="1" customWidth="1"/>
    <col min="172" max="172" width="6.75" style="58" bestFit="1" customWidth="1"/>
    <col min="173" max="173" width="9.625" style="58" bestFit="1" customWidth="1"/>
    <col min="174" max="176" width="6.75" style="58" bestFit="1" customWidth="1"/>
    <col min="177" max="177" width="8.875" style="58" bestFit="1" customWidth="1"/>
    <col min="178" max="178" width="18" style="58" bestFit="1" customWidth="1"/>
    <col min="179" max="179" width="6.75" style="58" bestFit="1" customWidth="1"/>
    <col min="180" max="180" width="9.625" style="58" bestFit="1" customWidth="1"/>
    <col min="181" max="183" width="6.75" style="58" bestFit="1" customWidth="1"/>
    <col min="184" max="184" width="8.875" style="58" bestFit="1" customWidth="1"/>
    <col min="185" max="185" width="10.25" style="58" bestFit="1" customWidth="1"/>
    <col min="186" max="186" width="18" style="58" bestFit="1" customWidth="1"/>
    <col min="187" max="187" width="7.75" style="58" bestFit="1" customWidth="1"/>
    <col min="188" max="188" width="11" style="58" bestFit="1" customWidth="1"/>
    <col min="189" max="191" width="7.75" style="58" bestFit="1" customWidth="1"/>
    <col min="192" max="192" width="10.25" style="58" bestFit="1" customWidth="1"/>
    <col min="193" max="193" width="18" style="58" bestFit="1" customWidth="1"/>
    <col min="194" max="194" width="7.75" style="58" bestFit="1" customWidth="1"/>
    <col min="195" max="195" width="9.625" style="58" bestFit="1" customWidth="1"/>
    <col min="196" max="198" width="7.75" style="58" bestFit="1" customWidth="1"/>
    <col min="199" max="199" width="8.875" style="58" bestFit="1" customWidth="1"/>
    <col min="200" max="200" width="18" style="58" bestFit="1" customWidth="1"/>
    <col min="201" max="201" width="7.75" style="58" bestFit="1" customWidth="1"/>
    <col min="202" max="202" width="11" style="58" bestFit="1" customWidth="1"/>
    <col min="203" max="205" width="7.75" style="58" bestFit="1" customWidth="1"/>
    <col min="206" max="206" width="8.875" style="58" bestFit="1" customWidth="1"/>
    <col min="207" max="207" width="18" style="58" bestFit="1" customWidth="1"/>
    <col min="208" max="208" width="7.75" style="58" bestFit="1" customWidth="1"/>
    <col min="209" max="209" width="11" style="58" bestFit="1" customWidth="1"/>
    <col min="210" max="212" width="7.75" style="58" bestFit="1" customWidth="1"/>
    <col min="213" max="213" width="8.875" style="58" bestFit="1" customWidth="1"/>
    <col min="214" max="214" width="18" style="58" bestFit="1" customWidth="1"/>
    <col min="215" max="215" width="7.75" style="58" bestFit="1" customWidth="1"/>
    <col min="216" max="216" width="11" style="58" bestFit="1" customWidth="1"/>
    <col min="217" max="219" width="7.75" style="58" bestFit="1" customWidth="1"/>
    <col min="220" max="220" width="8.875" style="58" bestFit="1" customWidth="1"/>
    <col min="221" max="221" width="18" style="58" bestFit="1" customWidth="1"/>
    <col min="222" max="222" width="7.75" style="58" bestFit="1" customWidth="1"/>
    <col min="223" max="223" width="11" style="58" bestFit="1" customWidth="1"/>
    <col min="224" max="226" width="7.75" style="58" bestFit="1" customWidth="1"/>
    <col min="227" max="227" width="8.875" style="58" bestFit="1" customWidth="1"/>
    <col min="228" max="228" width="18" style="58" bestFit="1" customWidth="1"/>
    <col min="229" max="229" width="7.75" style="58" bestFit="1" customWidth="1"/>
    <col min="230" max="230" width="11" style="58" bestFit="1" customWidth="1"/>
    <col min="231" max="233" width="7.75" style="58" bestFit="1" customWidth="1"/>
    <col min="234" max="234" width="10.25" style="58" bestFit="1" customWidth="1"/>
    <col min="235" max="235" width="18" style="58" bestFit="1" customWidth="1"/>
    <col min="236" max="236" width="7.75" style="58" bestFit="1" customWidth="1"/>
    <col min="237" max="237" width="11" style="58" bestFit="1" customWidth="1"/>
    <col min="238" max="240" width="7.75" style="58" bestFit="1" customWidth="1"/>
    <col min="241" max="242" width="10.25" style="58" bestFit="1" customWidth="1"/>
    <col min="243" max="243" width="18" style="58" bestFit="1" customWidth="1"/>
    <col min="244" max="244" width="7.75" style="58" bestFit="1" customWidth="1"/>
    <col min="245" max="245" width="11" style="58" bestFit="1" customWidth="1"/>
    <col min="246" max="248" width="7.75" style="58" bestFit="1" customWidth="1"/>
    <col min="249" max="249" width="10.25" style="58" bestFit="1" customWidth="1"/>
    <col min="250" max="250" width="18" style="58" bestFit="1" customWidth="1"/>
    <col min="251" max="251" width="7.75" style="58" bestFit="1" customWidth="1"/>
    <col min="252" max="252" width="11" style="58" bestFit="1" customWidth="1"/>
    <col min="253" max="255" width="7.75" style="58" bestFit="1" customWidth="1"/>
    <col min="256" max="256" width="8.875" style="58" bestFit="1" customWidth="1"/>
    <col min="257" max="257" width="18" style="58" bestFit="1" customWidth="1"/>
    <col min="258" max="258" width="7.75" style="58" bestFit="1" customWidth="1"/>
    <col min="259" max="259" width="11" style="58" bestFit="1" customWidth="1"/>
    <col min="260" max="262" width="7.75" style="58" bestFit="1" customWidth="1"/>
    <col min="263" max="263" width="8.875" style="58" bestFit="1" customWidth="1"/>
    <col min="264" max="264" width="18" style="58" bestFit="1" customWidth="1"/>
    <col min="265" max="265" width="7.75" style="58" bestFit="1" customWidth="1"/>
    <col min="266" max="266" width="9.625" style="58" bestFit="1" customWidth="1"/>
    <col min="267" max="269" width="7.75" style="58" bestFit="1" customWidth="1"/>
    <col min="270" max="270" width="8.875" style="58" bestFit="1" customWidth="1"/>
    <col min="271" max="271" width="18" style="58" bestFit="1" customWidth="1"/>
    <col min="272" max="272" width="7.75" style="58" bestFit="1" customWidth="1"/>
    <col min="273" max="273" width="11" style="58" bestFit="1" customWidth="1"/>
    <col min="274" max="276" width="7.75" style="58" bestFit="1" customWidth="1"/>
    <col min="277" max="277" width="8.875" style="58" bestFit="1" customWidth="1"/>
    <col min="278" max="278" width="18" style="58" bestFit="1" customWidth="1"/>
    <col min="279" max="279" width="7.75" style="58" bestFit="1" customWidth="1"/>
    <col min="280" max="280" width="11" style="58" bestFit="1" customWidth="1"/>
    <col min="281" max="283" width="7.75" style="58" bestFit="1" customWidth="1"/>
    <col min="284" max="284" width="8.875" style="58" bestFit="1" customWidth="1"/>
    <col min="285" max="285" width="18" style="58" bestFit="1" customWidth="1"/>
    <col min="286" max="286" width="7.75" style="58" bestFit="1" customWidth="1"/>
    <col min="287" max="287" width="11" style="58" bestFit="1" customWidth="1"/>
    <col min="288" max="290" width="7.75" style="58" bestFit="1" customWidth="1"/>
    <col min="291" max="291" width="10.25" style="58" bestFit="1" customWidth="1"/>
    <col min="292" max="292" width="18" style="58" bestFit="1" customWidth="1"/>
    <col min="293" max="293" width="7.75" style="58" bestFit="1" customWidth="1"/>
    <col min="294" max="294" width="11" style="58" bestFit="1" customWidth="1"/>
    <col min="295" max="297" width="7.75" style="58" bestFit="1" customWidth="1"/>
    <col min="298" max="298" width="10.25" style="58" bestFit="1" customWidth="1"/>
    <col min="299" max="299" width="12.625" style="58" bestFit="1" customWidth="1"/>
    <col min="300" max="300" width="18" style="58" bestFit="1" customWidth="1"/>
    <col min="301" max="301" width="6.75" style="58" bestFit="1" customWidth="1"/>
    <col min="302" max="302" width="9.625" style="58" bestFit="1" customWidth="1"/>
    <col min="303" max="305" width="6.75" style="58" bestFit="1" customWidth="1"/>
    <col min="306" max="306" width="12.625" style="58" bestFit="1" customWidth="1"/>
    <col min="307" max="307" width="18" style="58" bestFit="1" customWidth="1"/>
    <col min="308" max="308" width="6.75" style="58" bestFit="1" customWidth="1"/>
    <col min="309" max="309" width="9.625" style="58" bestFit="1" customWidth="1"/>
    <col min="310" max="312" width="6.75" style="58" bestFit="1" customWidth="1"/>
    <col min="313" max="313" width="11.375" style="58" bestFit="1" customWidth="1"/>
    <col min="314" max="314" width="18" style="58" bestFit="1" customWidth="1"/>
    <col min="315" max="315" width="6.75" style="58" bestFit="1" customWidth="1"/>
    <col min="316" max="316" width="9.625" style="58" bestFit="1" customWidth="1"/>
    <col min="317" max="319" width="6.75" style="58" bestFit="1" customWidth="1"/>
    <col min="320" max="320" width="10.25" style="58" bestFit="1" customWidth="1"/>
    <col min="321" max="321" width="18" style="58" bestFit="1" customWidth="1"/>
    <col min="322" max="322" width="6.75" style="58" bestFit="1" customWidth="1"/>
    <col min="323" max="323" width="9.625" style="58" bestFit="1" customWidth="1"/>
    <col min="324" max="326" width="6.75" style="58" bestFit="1" customWidth="1"/>
    <col min="327" max="327" width="10.25" style="58" bestFit="1" customWidth="1"/>
    <col min="328" max="328" width="18" style="58" bestFit="1" customWidth="1"/>
    <col min="329" max="329" width="6.75" style="58" bestFit="1" customWidth="1"/>
    <col min="330" max="330" width="9.625" style="58" bestFit="1" customWidth="1"/>
    <col min="331" max="333" width="6.75" style="58" bestFit="1" customWidth="1"/>
    <col min="334" max="334" width="11.375" style="58" bestFit="1" customWidth="1"/>
    <col min="335" max="335" width="18" style="58" bestFit="1" customWidth="1"/>
    <col min="336" max="336" width="6.75" style="58" bestFit="1" customWidth="1"/>
    <col min="337" max="337" width="9.625" style="58" bestFit="1" customWidth="1"/>
    <col min="338" max="340" width="6.75" style="58" bestFit="1" customWidth="1"/>
    <col min="341" max="341" width="11.375" style="58" bestFit="1" customWidth="1"/>
    <col min="342" max="342" width="18" style="58" bestFit="1" customWidth="1"/>
    <col min="343" max="343" width="6.75" style="58" bestFit="1" customWidth="1"/>
    <col min="344" max="344" width="9.625" style="58" bestFit="1" customWidth="1"/>
    <col min="345" max="347" width="6.75" style="58" bestFit="1" customWidth="1"/>
    <col min="348" max="348" width="11.375" style="58" bestFit="1" customWidth="1"/>
    <col min="349" max="349" width="18" style="58" bestFit="1" customWidth="1"/>
    <col min="350" max="350" width="6.75" style="58" bestFit="1" customWidth="1"/>
    <col min="351" max="351" width="9.625" style="58" bestFit="1" customWidth="1"/>
    <col min="352" max="354" width="6.75" style="58" bestFit="1" customWidth="1"/>
    <col min="355" max="355" width="11.375" style="58" bestFit="1" customWidth="1"/>
    <col min="356" max="356" width="8.875" style="58" bestFit="1" customWidth="1"/>
    <col min="357" max="357" width="18" style="58" bestFit="1" customWidth="1"/>
    <col min="358" max="358" width="7.75" style="58" bestFit="1" customWidth="1"/>
    <col min="359" max="359" width="11" style="58" bestFit="1" customWidth="1"/>
    <col min="360" max="362" width="7.75" style="58" bestFit="1" customWidth="1"/>
    <col min="363" max="363" width="10.25" style="58" bestFit="1" customWidth="1"/>
    <col min="364" max="364" width="18" style="58" bestFit="1" customWidth="1"/>
    <col min="365" max="365" width="7.75" style="58" bestFit="1" customWidth="1"/>
    <col min="366" max="366" width="11" style="58" bestFit="1" customWidth="1"/>
    <col min="367" max="369" width="7.75" style="58" bestFit="1" customWidth="1"/>
    <col min="370" max="370" width="10.25" style="58" bestFit="1" customWidth="1"/>
    <col min="371" max="371" width="18" style="58" bestFit="1" customWidth="1"/>
    <col min="372" max="372" width="7.75" style="58" bestFit="1" customWidth="1"/>
    <col min="373" max="373" width="11" style="58" bestFit="1" customWidth="1"/>
    <col min="374" max="376" width="7.75" style="58" bestFit="1" customWidth="1"/>
    <col min="377" max="377" width="8.875" style="58" bestFit="1" customWidth="1"/>
    <col min="378" max="378" width="18" style="58" bestFit="1" customWidth="1"/>
    <col min="379" max="379" width="7.75" style="58" bestFit="1" customWidth="1"/>
    <col min="380" max="380" width="11" style="58" bestFit="1" customWidth="1"/>
    <col min="381" max="383" width="7.75" style="58" bestFit="1" customWidth="1"/>
    <col min="384" max="384" width="8.875" style="58" bestFit="1" customWidth="1"/>
    <col min="385" max="385" width="18" style="58" bestFit="1" customWidth="1"/>
    <col min="386" max="386" width="7.75" style="58" bestFit="1" customWidth="1"/>
    <col min="387" max="387" width="11" style="58" bestFit="1" customWidth="1"/>
    <col min="388" max="390" width="7.75" style="58" bestFit="1" customWidth="1"/>
    <col min="391" max="391" width="8.875" style="58" bestFit="1" customWidth="1"/>
    <col min="392" max="392" width="18" style="58" bestFit="1" customWidth="1"/>
    <col min="393" max="393" width="7.75" style="58" bestFit="1" customWidth="1"/>
    <col min="394" max="394" width="11" style="58" bestFit="1" customWidth="1"/>
    <col min="395" max="397" width="7.75" style="58" bestFit="1" customWidth="1"/>
    <col min="398" max="398" width="8.875" style="58" bestFit="1" customWidth="1"/>
    <col min="399" max="399" width="18" style="58" bestFit="1" customWidth="1"/>
    <col min="400" max="400" width="7.75" style="58" bestFit="1" customWidth="1"/>
    <col min="401" max="401" width="11" style="58" bestFit="1" customWidth="1"/>
    <col min="402" max="404" width="7.75" style="58" bestFit="1" customWidth="1"/>
    <col min="405" max="405" width="8.875" style="58" bestFit="1" customWidth="1"/>
    <col min="406" max="406" width="18" style="58" bestFit="1" customWidth="1"/>
    <col min="407" max="407" width="7.75" style="58" bestFit="1" customWidth="1"/>
    <col min="408" max="408" width="11" style="58" bestFit="1" customWidth="1"/>
    <col min="409" max="411" width="7.75" style="58" bestFit="1" customWidth="1"/>
    <col min="412" max="412" width="8.875" style="58" bestFit="1" customWidth="1"/>
    <col min="413" max="413" width="10.25" style="58" bestFit="1" customWidth="1"/>
    <col min="414" max="414" width="18" style="58" bestFit="1" customWidth="1"/>
    <col min="415" max="415" width="5.625" style="58" bestFit="1" customWidth="1"/>
    <col min="416" max="416" width="7.5" style="58" bestFit="1" customWidth="1"/>
    <col min="417" max="419" width="5.625" style="58" bestFit="1" customWidth="1"/>
    <col min="420" max="420" width="10.25" style="58" bestFit="1" customWidth="1"/>
    <col min="421" max="421" width="18" style="58" bestFit="1" customWidth="1"/>
    <col min="422" max="422" width="5.625" style="58" bestFit="1" customWidth="1"/>
    <col min="423" max="423" width="7.5" style="58" bestFit="1" customWidth="1"/>
    <col min="424" max="426" width="5.625" style="58" bestFit="1" customWidth="1"/>
    <col min="427" max="427" width="10.25" style="58" bestFit="1" customWidth="1"/>
    <col min="428" max="428" width="18" style="58" bestFit="1" customWidth="1"/>
    <col min="429" max="429" width="5.625" style="58" bestFit="1" customWidth="1"/>
    <col min="430" max="430" width="7.5" style="58" bestFit="1" customWidth="1"/>
    <col min="431" max="433" width="5.625" style="58" bestFit="1" customWidth="1"/>
    <col min="434" max="434" width="10.25" style="58" bestFit="1" customWidth="1"/>
    <col min="435" max="435" width="18" style="58" bestFit="1" customWidth="1"/>
    <col min="436" max="436" width="5.625" style="58" bestFit="1" customWidth="1"/>
    <col min="437" max="437" width="7.5" style="58" bestFit="1" customWidth="1"/>
    <col min="438" max="440" width="5.625" style="58" bestFit="1" customWidth="1"/>
    <col min="441" max="441" width="10.25" style="58" bestFit="1" customWidth="1"/>
    <col min="442" max="442" width="18" style="58" bestFit="1" customWidth="1"/>
    <col min="443" max="443" width="5.625" style="58" bestFit="1" customWidth="1"/>
    <col min="444" max="444" width="8.5" style="58" bestFit="1" customWidth="1"/>
    <col min="445" max="447" width="5.625" style="58" bestFit="1" customWidth="1"/>
    <col min="448" max="448" width="12.625" style="58" bestFit="1" customWidth="1"/>
    <col min="449" max="449" width="18" style="58" bestFit="1" customWidth="1"/>
    <col min="450" max="450" width="5.625" style="58" bestFit="1" customWidth="1"/>
    <col min="451" max="451" width="7.5" style="58" bestFit="1" customWidth="1"/>
    <col min="452" max="454" width="5.625" style="58" bestFit="1" customWidth="1"/>
    <col min="455" max="455" width="10.25" style="58" bestFit="1" customWidth="1"/>
    <col min="456" max="456" width="18" style="58" bestFit="1" customWidth="1"/>
    <col min="457" max="457" width="5.625" style="58" bestFit="1" customWidth="1"/>
    <col min="458" max="458" width="7.5" style="58" bestFit="1" customWidth="1"/>
    <col min="459" max="461" width="5.625" style="58" bestFit="1" customWidth="1"/>
    <col min="462" max="462" width="11.375" style="58" bestFit="1" customWidth="1"/>
    <col min="463" max="463" width="18" style="58" bestFit="1" customWidth="1"/>
    <col min="464" max="464" width="5.625" style="58" bestFit="1" customWidth="1"/>
    <col min="465" max="465" width="7.5" style="58" bestFit="1" customWidth="1"/>
    <col min="466" max="468" width="5.625" style="58" bestFit="1" customWidth="1"/>
    <col min="469" max="470" width="10.25" style="58" bestFit="1" customWidth="1"/>
    <col min="471" max="471" width="18" style="58" bestFit="1" customWidth="1"/>
    <col min="472" max="472" width="7.75" style="58" bestFit="1" customWidth="1"/>
    <col min="473" max="473" width="9.625" style="58" bestFit="1" customWidth="1"/>
    <col min="474" max="476" width="7.75" style="58" bestFit="1" customWidth="1"/>
    <col min="477" max="477" width="8.875" style="58" bestFit="1" customWidth="1"/>
    <col min="478" max="478" width="18" style="58" bestFit="1" customWidth="1"/>
    <col min="479" max="479" width="7.75" style="58" bestFit="1" customWidth="1"/>
    <col min="480" max="480" width="9.625" style="58" bestFit="1" customWidth="1"/>
    <col min="481" max="483" width="7.75" style="58" bestFit="1" customWidth="1"/>
    <col min="484" max="484" width="10.25" style="58" bestFit="1" customWidth="1"/>
    <col min="485" max="485" width="18" style="58" bestFit="1" customWidth="1"/>
    <col min="486" max="486" width="7.75" style="58" bestFit="1" customWidth="1"/>
    <col min="487" max="487" width="9.625" style="58" bestFit="1" customWidth="1"/>
    <col min="488" max="490" width="7.75" style="58" bestFit="1" customWidth="1"/>
    <col min="491" max="491" width="8.875" style="58" bestFit="1" customWidth="1"/>
    <col min="492" max="492" width="18" style="58" bestFit="1" customWidth="1"/>
    <col min="493" max="493" width="7.75" style="58" bestFit="1" customWidth="1"/>
    <col min="494" max="494" width="9.625" style="58" bestFit="1" customWidth="1"/>
    <col min="495" max="497" width="7.75" style="58" bestFit="1" customWidth="1"/>
    <col min="498" max="498" width="10.25" style="58" bestFit="1" customWidth="1"/>
    <col min="499" max="499" width="18" style="58" bestFit="1" customWidth="1"/>
    <col min="500" max="500" width="7.75" style="58" bestFit="1" customWidth="1"/>
    <col min="501" max="501" width="9.625" style="58" bestFit="1" customWidth="1"/>
    <col min="502" max="504" width="7.75" style="58" bestFit="1" customWidth="1"/>
    <col min="505" max="505" width="10.25" style="58" bestFit="1" customWidth="1"/>
    <col min="506" max="506" width="18" style="58" bestFit="1" customWidth="1"/>
    <col min="507" max="507" width="7.75" style="58" bestFit="1" customWidth="1"/>
    <col min="508" max="508" width="9.625" style="58" bestFit="1" customWidth="1"/>
    <col min="509" max="511" width="7.75" style="58" bestFit="1" customWidth="1"/>
    <col min="512" max="512" width="8.875" style="58" bestFit="1" customWidth="1"/>
    <col min="513" max="513" width="18" style="58" bestFit="1" customWidth="1"/>
    <col min="514" max="514" width="7.75" style="58" bestFit="1" customWidth="1"/>
    <col min="515" max="515" width="9.625" style="58" bestFit="1" customWidth="1"/>
    <col min="516" max="518" width="7.75" style="58" bestFit="1" customWidth="1"/>
    <col min="519" max="519" width="10.25" style="58" bestFit="1" customWidth="1"/>
    <col min="520" max="520" width="18" style="58" bestFit="1" customWidth="1"/>
    <col min="521" max="521" width="7.75" style="58" bestFit="1" customWidth="1"/>
    <col min="522" max="522" width="9.625" style="58" bestFit="1" customWidth="1"/>
    <col min="523" max="525" width="7.75" style="58" bestFit="1" customWidth="1"/>
    <col min="526" max="527" width="10.25" style="58" bestFit="1" customWidth="1"/>
    <col min="528" max="528" width="17.875" style="58" bestFit="1" customWidth="1"/>
    <col min="529" max="529" width="5.25" style="58" bestFit="1" customWidth="1"/>
    <col min="530" max="530" width="7.875" style="58" bestFit="1" customWidth="1"/>
    <col min="531" max="533" width="5.25" style="58" bestFit="1" customWidth="1"/>
    <col min="534" max="534" width="9.25" style="58" bestFit="1" customWidth="1"/>
    <col min="535" max="535" width="17.875" style="58" bestFit="1" customWidth="1"/>
    <col min="536" max="536" width="5.25" style="58" bestFit="1" customWidth="1"/>
    <col min="537" max="537" width="7.875" style="58" bestFit="1" customWidth="1"/>
    <col min="538" max="540" width="5.25" style="58" bestFit="1" customWidth="1"/>
    <col min="541" max="541" width="10.25" style="58" bestFit="1" customWidth="1"/>
    <col min="542" max="542" width="17.875" style="58" bestFit="1" customWidth="1"/>
    <col min="543" max="543" width="5.25" style="58" bestFit="1" customWidth="1"/>
    <col min="544" max="544" width="7.875" style="58" bestFit="1" customWidth="1"/>
    <col min="545" max="547" width="5.25" style="58" bestFit="1" customWidth="1"/>
    <col min="548" max="548" width="10.25" style="58" bestFit="1" customWidth="1"/>
    <col min="549" max="549" width="17.875" style="58" bestFit="1" customWidth="1"/>
    <col min="550" max="550" width="5.25" style="58" bestFit="1" customWidth="1"/>
    <col min="551" max="551" width="7.125" style="58" bestFit="1" customWidth="1"/>
    <col min="552" max="554" width="5.25" style="58" bestFit="1" customWidth="1"/>
    <col min="555" max="555" width="9.25" style="58" bestFit="1" customWidth="1"/>
    <col min="556" max="556" width="17.875" style="58" bestFit="1" customWidth="1"/>
    <col min="557" max="557" width="5.25" style="58" bestFit="1" customWidth="1"/>
    <col min="558" max="558" width="7.875" style="58" bestFit="1" customWidth="1"/>
    <col min="559" max="561" width="5.25" style="58" bestFit="1" customWidth="1"/>
    <col min="562" max="562" width="9.25" style="58" bestFit="1" customWidth="1"/>
    <col min="563" max="563" width="17.875" style="58" bestFit="1" customWidth="1"/>
    <col min="564" max="564" width="5.25" style="58" bestFit="1" customWidth="1"/>
    <col min="565" max="565" width="7.875" style="58" bestFit="1" customWidth="1"/>
    <col min="566" max="568" width="5.25" style="58" bestFit="1" customWidth="1"/>
    <col min="569" max="569" width="7.875" style="58" bestFit="1" customWidth="1"/>
    <col min="570" max="570" width="17.875" style="58" bestFit="1" customWidth="1"/>
    <col min="571" max="571" width="5.25" style="58" bestFit="1" customWidth="1"/>
    <col min="572" max="572" width="7.125" style="58" bestFit="1" customWidth="1"/>
    <col min="573" max="575" width="5.25" style="58" bestFit="1" customWidth="1"/>
    <col min="576" max="576" width="7.875" style="58" bestFit="1" customWidth="1"/>
    <col min="577" max="577" width="17.875" style="58" bestFit="1" customWidth="1"/>
    <col min="578" max="578" width="5.25" style="58" bestFit="1" customWidth="1"/>
    <col min="579" max="579" width="7.125" style="58" bestFit="1" customWidth="1"/>
    <col min="580" max="582" width="5.25" style="58" bestFit="1" customWidth="1"/>
    <col min="583" max="584" width="7.875" style="58" bestFit="1" customWidth="1"/>
    <col min="585" max="585" width="17.875" style="58" bestFit="1" customWidth="1"/>
    <col min="586" max="586" width="6" style="58" bestFit="1" customWidth="1"/>
    <col min="587" max="587" width="8.875" style="58" bestFit="1" customWidth="1"/>
    <col min="588" max="590" width="6" style="58" bestFit="1" customWidth="1"/>
    <col min="591" max="591" width="7.875" style="58" bestFit="1" customWidth="1"/>
    <col min="592" max="592" width="17.875" style="58" bestFit="1" customWidth="1"/>
    <col min="593" max="593" width="6" style="58" bestFit="1" customWidth="1"/>
    <col min="594" max="594" width="8.875" style="58" bestFit="1" customWidth="1"/>
    <col min="595" max="597" width="6" style="58" bestFit="1" customWidth="1"/>
    <col min="598" max="598" width="7.875" style="58" bestFit="1" customWidth="1"/>
    <col min="599" max="599" width="17.875" style="58" bestFit="1" customWidth="1"/>
    <col min="600" max="600" width="6.875" style="58" bestFit="1" customWidth="1"/>
    <col min="601" max="601" width="10.25" style="58" bestFit="1" customWidth="1"/>
    <col min="602" max="604" width="6.875" style="58" bestFit="1" customWidth="1"/>
    <col min="605" max="605" width="7.875" style="58" bestFit="1" customWidth="1"/>
    <col min="606" max="606" width="17.875" style="58" bestFit="1" customWidth="1"/>
    <col min="607" max="607" width="6.875" style="58" bestFit="1" customWidth="1"/>
    <col min="608" max="608" width="8.875" style="58" bestFit="1" customWidth="1"/>
    <col min="609" max="611" width="6.875" style="58" bestFit="1" customWidth="1"/>
    <col min="612" max="612" width="7.875" style="58" bestFit="1" customWidth="1"/>
    <col min="613" max="613" width="17.875" style="58" bestFit="1" customWidth="1"/>
    <col min="614" max="614" width="6.875" style="58" bestFit="1" customWidth="1"/>
    <col min="615" max="615" width="8.875" style="58" bestFit="1" customWidth="1"/>
    <col min="616" max="618" width="6.875" style="58" bestFit="1" customWidth="1"/>
    <col min="619" max="619" width="7.875" style="58" bestFit="1" customWidth="1"/>
    <col min="620" max="620" width="17.875" style="58" bestFit="1" customWidth="1"/>
    <col min="621" max="621" width="6.875" style="58" bestFit="1" customWidth="1"/>
    <col min="622" max="622" width="10.25" style="58" bestFit="1" customWidth="1"/>
    <col min="623" max="625" width="6.875" style="58" bestFit="1" customWidth="1"/>
    <col min="626" max="626" width="9.25" style="58" bestFit="1" customWidth="1"/>
    <col min="627" max="627" width="17.875" style="58" bestFit="1" customWidth="1"/>
    <col min="628" max="628" width="6.875" style="58" bestFit="1" customWidth="1"/>
    <col min="629" max="629" width="8.875" style="58" bestFit="1" customWidth="1"/>
    <col min="630" max="632" width="6.875" style="58" bestFit="1" customWidth="1"/>
    <col min="633" max="633" width="7.125" style="58" bestFit="1" customWidth="1"/>
    <col min="634" max="634" width="17.875" style="58" bestFit="1" customWidth="1"/>
    <col min="635" max="635" width="6.875" style="58" bestFit="1" customWidth="1"/>
    <col min="636" max="636" width="8.875" style="58" bestFit="1" customWidth="1"/>
    <col min="637" max="639" width="6.875" style="58" bestFit="1" customWidth="1"/>
    <col min="640" max="640" width="7.875" style="58" bestFit="1" customWidth="1"/>
    <col min="641" max="641" width="9.25" style="58" bestFit="1" customWidth="1"/>
    <col min="642" max="642" width="17.875" style="58" bestFit="1" customWidth="1"/>
    <col min="643" max="643" width="6.875" style="58" bestFit="1" customWidth="1"/>
    <col min="644" max="644" width="10.25" style="58" bestFit="1" customWidth="1"/>
    <col min="645" max="647" width="6.875" style="58" bestFit="1" customWidth="1"/>
    <col min="648" max="648" width="9.25" style="58" bestFit="1" customWidth="1"/>
    <col min="649" max="649" width="17.875" style="58" bestFit="1" customWidth="1"/>
    <col min="650" max="650" width="6.875" style="58" bestFit="1" customWidth="1"/>
    <col min="651" max="651" width="10.25" style="58" bestFit="1" customWidth="1"/>
    <col min="652" max="654" width="6.875" style="58" bestFit="1" customWidth="1"/>
    <col min="655" max="655" width="10.25" style="58" bestFit="1" customWidth="1"/>
    <col min="656" max="656" width="17.875" style="58" bestFit="1" customWidth="1"/>
    <col min="657" max="657" width="6.875" style="58" bestFit="1" customWidth="1"/>
    <col min="658" max="658" width="8.875" style="58" bestFit="1" customWidth="1"/>
    <col min="659" max="661" width="6.875" style="58" bestFit="1" customWidth="1"/>
    <col min="662" max="662" width="9.25" style="58" bestFit="1" customWidth="1"/>
    <col min="663" max="663" width="17.875" style="58" bestFit="1" customWidth="1"/>
    <col min="664" max="664" width="6.875" style="58" bestFit="1" customWidth="1"/>
    <col min="665" max="665" width="10.25" style="58" bestFit="1" customWidth="1"/>
    <col min="666" max="668" width="6.875" style="58" bestFit="1" customWidth="1"/>
    <col min="669" max="669" width="9.25" style="58" bestFit="1" customWidth="1"/>
    <col min="670" max="670" width="17.875" style="58" bestFit="1" customWidth="1"/>
    <col min="671" max="671" width="6.875" style="58" bestFit="1" customWidth="1"/>
    <col min="672" max="672" width="10.25" style="58" bestFit="1" customWidth="1"/>
    <col min="673" max="674" width="6.875" style="58" bestFit="1" customWidth="1"/>
    <col min="675" max="675" width="6" style="58" bestFit="1" customWidth="1"/>
    <col min="676" max="676" width="9.25" style="58" bestFit="1" customWidth="1"/>
    <col min="677" max="677" width="17.875" style="58" bestFit="1" customWidth="1"/>
    <col min="678" max="678" width="6" style="58" bestFit="1" customWidth="1"/>
    <col min="679" max="679" width="8.875" style="58" bestFit="1" customWidth="1"/>
    <col min="680" max="682" width="6" style="58" bestFit="1" customWidth="1"/>
    <col min="683" max="683" width="7.875" style="58" bestFit="1" customWidth="1"/>
    <col min="684" max="684" width="17.875" style="58" bestFit="1" customWidth="1"/>
    <col min="685" max="685" width="6" style="58" bestFit="1" customWidth="1"/>
    <col min="686" max="686" width="8.875" style="58" bestFit="1" customWidth="1"/>
    <col min="687" max="689" width="6" style="58" bestFit="1" customWidth="1"/>
    <col min="690" max="690" width="7.875" style="58" bestFit="1" customWidth="1"/>
    <col min="691" max="691" width="17.875" style="58" bestFit="1" customWidth="1"/>
    <col min="692" max="692" width="6" style="58" bestFit="1" customWidth="1"/>
    <col min="693" max="693" width="8.875" style="58" bestFit="1" customWidth="1"/>
    <col min="694" max="696" width="6" style="58" bestFit="1" customWidth="1"/>
    <col min="697" max="698" width="7.875" style="58" bestFit="1" customWidth="1"/>
    <col min="699" max="699" width="17.875" style="58" bestFit="1" customWidth="1"/>
    <col min="700" max="700" width="6" style="58" bestFit="1" customWidth="1"/>
    <col min="701" max="701" width="8.875" style="58" bestFit="1" customWidth="1"/>
    <col min="702" max="704" width="6" style="58" bestFit="1" customWidth="1"/>
    <col min="705" max="705" width="10.25" style="58" bestFit="1" customWidth="1"/>
    <col min="706" max="706" width="17.875" style="58" bestFit="1" customWidth="1"/>
    <col min="707" max="707" width="6" style="58" bestFit="1" customWidth="1"/>
    <col min="708" max="708" width="7.875" style="58" bestFit="1" customWidth="1"/>
    <col min="709" max="711" width="6" style="58" bestFit="1" customWidth="1"/>
    <col min="712" max="712" width="7.875" style="58" bestFit="1" customWidth="1"/>
    <col min="713" max="713" width="17.875" style="58" bestFit="1" customWidth="1"/>
    <col min="714" max="714" width="6" style="58" bestFit="1" customWidth="1"/>
    <col min="715" max="715" width="7.875" style="58" bestFit="1" customWidth="1"/>
    <col min="716" max="718" width="6" style="58" bestFit="1" customWidth="1"/>
    <col min="719" max="719" width="7.875" style="58" bestFit="1" customWidth="1"/>
    <col min="720" max="720" width="17.875" style="58" bestFit="1" customWidth="1"/>
    <col min="721" max="721" width="6" style="58" bestFit="1" customWidth="1"/>
    <col min="722" max="722" width="8.875" style="58" bestFit="1" customWidth="1"/>
    <col min="723" max="725" width="6" style="58" bestFit="1" customWidth="1"/>
    <col min="726" max="726" width="9.25" style="58" bestFit="1" customWidth="1"/>
    <col min="727" max="727" width="17.875" style="58" bestFit="1" customWidth="1"/>
    <col min="728" max="728" width="6" style="58" bestFit="1" customWidth="1"/>
    <col min="729" max="729" width="8.875" style="58" bestFit="1" customWidth="1"/>
    <col min="730" max="732" width="6" style="58" bestFit="1" customWidth="1"/>
    <col min="733" max="733" width="7.875" style="58" bestFit="1" customWidth="1"/>
    <col min="734" max="734" width="17.875" style="58" bestFit="1" customWidth="1"/>
    <col min="735" max="735" width="6" style="58" bestFit="1" customWidth="1"/>
    <col min="736" max="736" width="8.875" style="58" bestFit="1" customWidth="1"/>
    <col min="737" max="739" width="6" style="58" bestFit="1" customWidth="1"/>
    <col min="740" max="740" width="9.25" style="58" bestFit="1" customWidth="1"/>
    <col min="741" max="741" width="17.875" style="58" bestFit="1" customWidth="1"/>
    <col min="742" max="742" width="6" style="58" bestFit="1" customWidth="1"/>
    <col min="743" max="743" width="7.875" style="58" bestFit="1" customWidth="1"/>
    <col min="744" max="746" width="6" style="58" bestFit="1" customWidth="1"/>
    <col min="747" max="747" width="9.25" style="58" bestFit="1" customWidth="1"/>
    <col min="748" max="748" width="17.875" style="58" bestFit="1" customWidth="1"/>
    <col min="749" max="749" width="6" style="58" bestFit="1" customWidth="1"/>
    <col min="750" max="750" width="7.875" style="58" bestFit="1" customWidth="1"/>
    <col min="751" max="753" width="6" style="58" bestFit="1" customWidth="1"/>
    <col min="754" max="755" width="7.875" style="58" bestFit="1" customWidth="1"/>
    <col min="756" max="756" width="17.875" style="58" bestFit="1" customWidth="1"/>
    <col min="757" max="757" width="7.875" style="58" bestFit="1" customWidth="1"/>
    <col min="758" max="758" width="11.375" style="58" bestFit="1" customWidth="1"/>
    <col min="759" max="762" width="7.875" style="58" bestFit="1" customWidth="1"/>
    <col min="763" max="763" width="17.875" style="58" bestFit="1" customWidth="1"/>
    <col min="764" max="764" width="7.875" style="58" bestFit="1" customWidth="1"/>
    <col min="765" max="765" width="11.375" style="58" bestFit="1" customWidth="1"/>
    <col min="766" max="769" width="7.875" style="58" bestFit="1" customWidth="1"/>
    <col min="770" max="770" width="17.875" style="58" bestFit="1" customWidth="1"/>
    <col min="771" max="771" width="7.875" style="58" bestFit="1" customWidth="1"/>
    <col min="772" max="772" width="11.375" style="58" bestFit="1" customWidth="1"/>
    <col min="773" max="776" width="7.875" style="58" bestFit="1" customWidth="1"/>
    <col min="777" max="777" width="17.875" style="58" bestFit="1" customWidth="1"/>
    <col min="778" max="778" width="7.875" style="58" bestFit="1" customWidth="1"/>
    <col min="779" max="779" width="11.375" style="58" bestFit="1" customWidth="1"/>
    <col min="780" max="783" width="7.875" style="58" bestFit="1" customWidth="1"/>
    <col min="784" max="784" width="17.875" style="58" bestFit="1" customWidth="1"/>
    <col min="785" max="785" width="7.875" style="58" bestFit="1" customWidth="1"/>
    <col min="786" max="786" width="11.375" style="58" bestFit="1" customWidth="1"/>
    <col min="787" max="789" width="7.875" style="58" bestFit="1" customWidth="1"/>
    <col min="790" max="790" width="9.25" style="58" bestFit="1" customWidth="1"/>
    <col min="791" max="791" width="17.875" style="58" bestFit="1" customWidth="1"/>
    <col min="792" max="792" width="7.875" style="58" bestFit="1" customWidth="1"/>
    <col min="793" max="793" width="11.375" style="58" bestFit="1" customWidth="1"/>
    <col min="794" max="796" width="7.875" style="58" bestFit="1" customWidth="1"/>
    <col min="797" max="797" width="9.25" style="58" bestFit="1" customWidth="1"/>
    <col min="798" max="798" width="17.875" style="58" bestFit="1" customWidth="1"/>
    <col min="799" max="799" width="7.875" style="58" bestFit="1" customWidth="1"/>
    <col min="800" max="800" width="10.25" style="58" bestFit="1" customWidth="1"/>
    <col min="801" max="804" width="7.875" style="58" bestFit="1" customWidth="1"/>
    <col min="805" max="805" width="17.875" style="58" bestFit="1" customWidth="1"/>
    <col min="806" max="806" width="7.875" style="58" bestFit="1" customWidth="1"/>
    <col min="807" max="807" width="10.25" style="58" bestFit="1" customWidth="1"/>
    <col min="808" max="809" width="7.875" style="58" bestFit="1" customWidth="1"/>
    <col min="810" max="810" width="6.875" style="58" bestFit="1" customWidth="1"/>
    <col min="811" max="811" width="9.25" style="58" bestFit="1" customWidth="1"/>
    <col min="812" max="812" width="7.875" style="58" bestFit="1" customWidth="1"/>
    <col min="813" max="813" width="17.875" style="58" bestFit="1" customWidth="1"/>
    <col min="814" max="814" width="6.875" style="58" bestFit="1" customWidth="1"/>
    <col min="815" max="815" width="8.875" style="58" bestFit="1" customWidth="1"/>
    <col min="816" max="818" width="6.875" style="58" bestFit="1" customWidth="1"/>
    <col min="819" max="819" width="7.875" style="58" bestFit="1" customWidth="1"/>
    <col min="820" max="820" width="17.875" style="58" bestFit="1" customWidth="1"/>
    <col min="821" max="821" width="6.875" style="58" bestFit="1" customWidth="1"/>
    <col min="822" max="822" width="8.875" style="58" bestFit="1" customWidth="1"/>
    <col min="823" max="825" width="6.875" style="58" bestFit="1" customWidth="1"/>
    <col min="826" max="826" width="7.875" style="58" bestFit="1" customWidth="1"/>
    <col min="827" max="827" width="17.875" style="58" bestFit="1" customWidth="1"/>
    <col min="828" max="828" width="6.875" style="58" bestFit="1" customWidth="1"/>
    <col min="829" max="829" width="10.25" style="58" bestFit="1" customWidth="1"/>
    <col min="830" max="832" width="6.875" style="58" bestFit="1" customWidth="1"/>
    <col min="833" max="833" width="9.25" style="58" bestFit="1" customWidth="1"/>
    <col min="834" max="834" width="17.875" style="58" bestFit="1" customWidth="1"/>
    <col min="835" max="835" width="6.875" style="58" bestFit="1" customWidth="1"/>
    <col min="836" max="836" width="8.875" style="58" bestFit="1" customWidth="1"/>
    <col min="837" max="839" width="6.875" style="58" bestFit="1" customWidth="1"/>
    <col min="840" max="840" width="7.875" style="58" bestFit="1" customWidth="1"/>
    <col min="841" max="841" width="17.875" style="58" bestFit="1" customWidth="1"/>
    <col min="842" max="842" width="6.875" style="58" bestFit="1" customWidth="1"/>
    <col min="843" max="843" width="10.25" style="58" bestFit="1" customWidth="1"/>
    <col min="844" max="846" width="6.875" style="58" bestFit="1" customWidth="1"/>
    <col min="847" max="847" width="9.25" style="58" bestFit="1" customWidth="1"/>
    <col min="848" max="848" width="17.875" style="58" bestFit="1" customWidth="1"/>
    <col min="849" max="849" width="6.875" style="58" bestFit="1" customWidth="1"/>
    <col min="850" max="850" width="10.25" style="58" bestFit="1" customWidth="1"/>
    <col min="851" max="853" width="6.875" style="58" bestFit="1" customWidth="1"/>
    <col min="854" max="854" width="7.875" style="58" bestFit="1" customWidth="1"/>
    <col min="855" max="855" width="17.875" style="58" bestFit="1" customWidth="1"/>
    <col min="856" max="856" width="6.875" style="58" bestFit="1" customWidth="1"/>
    <col min="857" max="857" width="8.875" style="58" bestFit="1" customWidth="1"/>
    <col min="858" max="859" width="6.875" style="58" bestFit="1" customWidth="1"/>
    <col min="860" max="860" width="6" style="58" bestFit="1" customWidth="1"/>
    <col min="861" max="861" width="7.875" style="58" bestFit="1" customWidth="1"/>
    <col min="862" max="862" width="17.875" style="58" bestFit="1" customWidth="1"/>
    <col min="863" max="863" width="6" style="58" bestFit="1" customWidth="1"/>
    <col min="864" max="864" width="8.875" style="58" bestFit="1" customWidth="1"/>
    <col min="865" max="867" width="6" style="58" bestFit="1" customWidth="1"/>
    <col min="868" max="868" width="9.25" style="58" bestFit="1" customWidth="1"/>
    <col min="869" max="869" width="10.25" style="58" bestFit="1" customWidth="1"/>
    <col min="870" max="870" width="17.875" style="58" bestFit="1" customWidth="1"/>
    <col min="871" max="871" width="6" style="58" bestFit="1" customWidth="1"/>
    <col min="872" max="872" width="8.875" style="58" bestFit="1" customWidth="1"/>
    <col min="873" max="875" width="6" style="58" bestFit="1" customWidth="1"/>
    <col min="876" max="876" width="10.25" style="58" bestFit="1" customWidth="1"/>
    <col min="877" max="877" width="17.875" style="58" bestFit="1" customWidth="1"/>
    <col min="878" max="878" width="6" style="58" bestFit="1" customWidth="1"/>
    <col min="879" max="879" width="8.875" style="58" bestFit="1" customWidth="1"/>
    <col min="880" max="882" width="6" style="58" bestFit="1" customWidth="1"/>
    <col min="883" max="883" width="10.25" style="58" bestFit="1" customWidth="1"/>
    <col min="884" max="884" width="17.875" style="58" bestFit="1" customWidth="1"/>
    <col min="885" max="885" width="6" style="58" bestFit="1" customWidth="1"/>
    <col min="886" max="886" width="8.875" style="58" bestFit="1" customWidth="1"/>
    <col min="887" max="889" width="6" style="58" bestFit="1" customWidth="1"/>
    <col min="890" max="890" width="11.375" style="58" bestFit="1" customWidth="1"/>
    <col min="891" max="891" width="17.875" style="58" bestFit="1" customWidth="1"/>
    <col min="892" max="892" width="6" style="58" bestFit="1" customWidth="1"/>
    <col min="893" max="893" width="7.875" style="58" bestFit="1" customWidth="1"/>
    <col min="894" max="896" width="6" style="58" bestFit="1" customWidth="1"/>
    <col min="897" max="897" width="10.25" style="58" bestFit="1" customWidth="1"/>
    <col min="898" max="898" width="17.875" style="58" bestFit="1" customWidth="1"/>
    <col min="899" max="899" width="6" style="58" bestFit="1" customWidth="1"/>
    <col min="900" max="900" width="7.875" style="58" bestFit="1" customWidth="1"/>
    <col min="901" max="903" width="6" style="58" bestFit="1" customWidth="1"/>
    <col min="904" max="904" width="9.25" style="58" bestFit="1" customWidth="1"/>
    <col min="905" max="905" width="17.875" style="58" bestFit="1" customWidth="1"/>
    <col min="906" max="906" width="6" style="58" bestFit="1" customWidth="1"/>
    <col min="907" max="907" width="8.875" style="58" bestFit="1" customWidth="1"/>
    <col min="908" max="910" width="6" style="58" bestFit="1" customWidth="1"/>
    <col min="911" max="911" width="9.25" style="58" bestFit="1" customWidth="1"/>
    <col min="912" max="912" width="17.875" style="58" bestFit="1" customWidth="1"/>
    <col min="913" max="913" width="6" style="58" bestFit="1" customWidth="1"/>
    <col min="914" max="914" width="7.875" style="58" bestFit="1" customWidth="1"/>
    <col min="915" max="917" width="6" style="58" bestFit="1" customWidth="1"/>
    <col min="918" max="918" width="9.25" style="58" bestFit="1" customWidth="1"/>
    <col min="919" max="919" width="17.875" style="58" bestFit="1" customWidth="1"/>
    <col min="920" max="920" width="6" style="58" bestFit="1" customWidth="1"/>
    <col min="921" max="921" width="7.875" style="58" bestFit="1" customWidth="1"/>
    <col min="922" max="924" width="6" style="58" bestFit="1" customWidth="1"/>
    <col min="925" max="925" width="9.25" style="58" bestFit="1" customWidth="1"/>
    <col min="926" max="926" width="7.125" style="58" bestFit="1" customWidth="1"/>
    <col min="927" max="927" width="17.875" style="58" bestFit="1" customWidth="1"/>
    <col min="928" max="928" width="6" style="58" bestFit="1" customWidth="1"/>
    <col min="929" max="929" width="8.875" style="58" bestFit="1" customWidth="1"/>
    <col min="930" max="932" width="6" style="58" bestFit="1" customWidth="1"/>
    <col min="933" max="933" width="7.125" style="58" bestFit="1" customWidth="1"/>
    <col min="934" max="934" width="17.875" style="58" bestFit="1" customWidth="1"/>
    <col min="935" max="935" width="6" style="58" bestFit="1" customWidth="1"/>
    <col min="936" max="936" width="8.875" style="58" bestFit="1" customWidth="1"/>
    <col min="937" max="939" width="6" style="58" bestFit="1" customWidth="1"/>
    <col min="940" max="940" width="7.125" style="58" bestFit="1" customWidth="1"/>
    <col min="941" max="941" width="17.875" style="58" bestFit="1" customWidth="1"/>
    <col min="942" max="942" width="6" style="58" bestFit="1" customWidth="1"/>
    <col min="943" max="943" width="8.875" style="58" bestFit="1" customWidth="1"/>
    <col min="944" max="946" width="6" style="58" bestFit="1" customWidth="1"/>
    <col min="947" max="947" width="7.125" style="58" bestFit="1" customWidth="1"/>
    <col min="948" max="948" width="17.875" style="58" bestFit="1" customWidth="1"/>
    <col min="949" max="949" width="6" style="58" bestFit="1" customWidth="1"/>
    <col min="950" max="950" width="8.875" style="58" bestFit="1" customWidth="1"/>
    <col min="951" max="953" width="6" style="58" bestFit="1" customWidth="1"/>
    <col min="954" max="954" width="7.125" style="58" bestFit="1" customWidth="1"/>
    <col min="955" max="955" width="17.875" style="58" bestFit="1" customWidth="1"/>
    <col min="956" max="956" width="6" style="58" bestFit="1" customWidth="1"/>
    <col min="957" max="957" width="8.875" style="58" bestFit="1" customWidth="1"/>
    <col min="958" max="960" width="6" style="58" bestFit="1" customWidth="1"/>
    <col min="961" max="961" width="7.125" style="58" bestFit="1" customWidth="1"/>
    <col min="962" max="962" width="17.875" style="58" bestFit="1" customWidth="1"/>
    <col min="963" max="963" width="6" style="58" bestFit="1" customWidth="1"/>
    <col min="964" max="964" width="8.875" style="58" bestFit="1" customWidth="1"/>
    <col min="965" max="967" width="6" style="58" bestFit="1" customWidth="1"/>
    <col min="968" max="968" width="7.125" style="58" bestFit="1" customWidth="1"/>
    <col min="969" max="969" width="17.875" style="58" bestFit="1" customWidth="1"/>
    <col min="970" max="970" width="6" style="58" bestFit="1" customWidth="1"/>
    <col min="971" max="971" width="8.875" style="58" bestFit="1" customWidth="1"/>
    <col min="972" max="974" width="6" style="58" bestFit="1" customWidth="1"/>
    <col min="975" max="975" width="7.125" style="58" bestFit="1" customWidth="1"/>
    <col min="976" max="976" width="17.875" style="58" bestFit="1" customWidth="1"/>
    <col min="977" max="977" width="6" style="58" bestFit="1" customWidth="1"/>
    <col min="978" max="978" width="8.875" style="58" bestFit="1" customWidth="1"/>
    <col min="979" max="981" width="6" style="58" bestFit="1" customWidth="1"/>
    <col min="982" max="983" width="7.125" style="58" bestFit="1" customWidth="1"/>
    <col min="984" max="984" width="17.875" style="58" bestFit="1" customWidth="1"/>
    <col min="985" max="985" width="6.875" style="58" bestFit="1" customWidth="1"/>
    <col min="986" max="986" width="8.875" style="58" bestFit="1" customWidth="1"/>
    <col min="987" max="989" width="6.875" style="58" bestFit="1" customWidth="1"/>
    <col min="990" max="990" width="7.125" style="58" bestFit="1" customWidth="1"/>
    <col min="991" max="991" width="17.875" style="58" bestFit="1" customWidth="1"/>
    <col min="992" max="992" width="6.875" style="58" bestFit="1" customWidth="1"/>
    <col min="993" max="993" width="8.875" style="58" bestFit="1" customWidth="1"/>
    <col min="994" max="996" width="6.875" style="58" bestFit="1" customWidth="1"/>
    <col min="997" max="997" width="7.875" style="58" bestFit="1" customWidth="1"/>
    <col min="998" max="998" width="17.875" style="58" bestFit="1" customWidth="1"/>
    <col min="999" max="999" width="6.875" style="58" bestFit="1" customWidth="1"/>
    <col min="1000" max="1000" width="8.875" style="58" bestFit="1" customWidth="1"/>
    <col min="1001" max="1003" width="6.875" style="58" bestFit="1" customWidth="1"/>
    <col min="1004" max="1004" width="7.875" style="58" bestFit="1" customWidth="1"/>
    <col min="1005" max="1005" width="17.875" style="58" bestFit="1" customWidth="1"/>
    <col min="1006" max="1006" width="6.875" style="58" bestFit="1" customWidth="1"/>
    <col min="1007" max="1007" width="8.875" style="58" bestFit="1" customWidth="1"/>
    <col min="1008" max="1010" width="6.875" style="58" bestFit="1" customWidth="1"/>
    <col min="1011" max="1011" width="7.875" style="58" bestFit="1" customWidth="1"/>
    <col min="1012" max="1012" width="17.875" style="58" bestFit="1" customWidth="1"/>
    <col min="1013" max="1013" width="6.875" style="58" bestFit="1" customWidth="1"/>
    <col min="1014" max="1014" width="10.25" style="58" bestFit="1" customWidth="1"/>
    <col min="1015" max="1017" width="6.875" style="58" bestFit="1" customWidth="1"/>
    <col min="1018" max="1018" width="7.875" style="58" bestFit="1" customWidth="1"/>
    <col min="1019" max="1019" width="17.875" style="58" bestFit="1" customWidth="1"/>
    <col min="1020" max="1020" width="6.875" style="58" bestFit="1" customWidth="1"/>
    <col min="1021" max="1021" width="8.875" style="58" bestFit="1" customWidth="1"/>
    <col min="1022" max="1024" width="6.875" style="58" bestFit="1" customWidth="1"/>
    <col min="1025" max="1025" width="7.875" style="58" bestFit="1" customWidth="1"/>
    <col min="1026" max="1026" width="17.875" style="58" bestFit="1" customWidth="1"/>
    <col min="1027" max="1027" width="6.875" style="58" bestFit="1" customWidth="1"/>
    <col min="1028" max="1028" width="8.875" style="58" bestFit="1" customWidth="1"/>
    <col min="1029" max="1031" width="6.875" style="58" bestFit="1" customWidth="1"/>
    <col min="1032" max="1032" width="7.875" style="58" bestFit="1" customWidth="1"/>
    <col min="1033" max="1033" width="17.875" style="58" bestFit="1" customWidth="1"/>
    <col min="1034" max="1034" width="6.875" style="58" bestFit="1" customWidth="1"/>
    <col min="1035" max="1035" width="8.875" style="58" bestFit="1" customWidth="1"/>
    <col min="1036" max="1038" width="6.875" style="58" bestFit="1" customWidth="1"/>
    <col min="1039" max="1040" width="7.875" style="58" bestFit="1" customWidth="1"/>
    <col min="1041" max="1041" width="17.875" style="58" bestFit="1" customWidth="1"/>
    <col min="1042" max="1042" width="6.875" style="58" bestFit="1" customWidth="1"/>
    <col min="1043" max="1043" width="8.875" style="58" bestFit="1" customWidth="1"/>
    <col min="1044" max="1046" width="6.875" style="58" bestFit="1" customWidth="1"/>
    <col min="1047" max="1047" width="7.875" style="58" bestFit="1" customWidth="1"/>
    <col min="1048" max="1048" width="17.875" style="58" bestFit="1" customWidth="1"/>
    <col min="1049" max="1049" width="6.875" style="58" bestFit="1" customWidth="1"/>
    <col min="1050" max="1050" width="8.875" style="58" bestFit="1" customWidth="1"/>
    <col min="1051" max="1053" width="6.875" style="58" bestFit="1" customWidth="1"/>
    <col min="1054" max="1054" width="7.875" style="58" bestFit="1" customWidth="1"/>
    <col min="1055" max="1055" width="17.875" style="58" bestFit="1" customWidth="1"/>
    <col min="1056" max="1056" width="6.875" style="58" bestFit="1" customWidth="1"/>
    <col min="1057" max="1057" width="10.25" style="58" bestFit="1" customWidth="1"/>
    <col min="1058" max="1060" width="6.875" style="58" bestFit="1" customWidth="1"/>
    <col min="1061" max="1061" width="7.875" style="58" bestFit="1" customWidth="1"/>
    <col min="1062" max="1062" width="17.875" style="58" bestFit="1" customWidth="1"/>
    <col min="1063" max="1063" width="6.875" style="58" bestFit="1" customWidth="1"/>
    <col min="1064" max="1064" width="10.25" style="58" bestFit="1" customWidth="1"/>
    <col min="1065" max="1067" width="6.875" style="58" bestFit="1" customWidth="1"/>
    <col min="1068" max="1068" width="7.875" style="58" bestFit="1" customWidth="1"/>
    <col min="1069" max="1069" width="17.875" style="58" bestFit="1" customWidth="1"/>
    <col min="1070" max="1070" width="6.875" style="58" bestFit="1" customWidth="1"/>
    <col min="1071" max="1071" width="10.25" style="58" bestFit="1" customWidth="1"/>
    <col min="1072" max="1074" width="6.875" style="58" bestFit="1" customWidth="1"/>
    <col min="1075" max="1075" width="7.875" style="58" bestFit="1" customWidth="1"/>
    <col min="1076" max="1076" width="17.875" style="58" bestFit="1" customWidth="1"/>
    <col min="1077" max="1077" width="6.875" style="58" bestFit="1" customWidth="1"/>
    <col min="1078" max="1078" width="10.25" style="58" bestFit="1" customWidth="1"/>
    <col min="1079" max="1081" width="6.875" style="58" bestFit="1" customWidth="1"/>
    <col min="1082" max="1082" width="7.875" style="58" bestFit="1" customWidth="1"/>
    <col min="1083" max="1083" width="17.875" style="58" bestFit="1" customWidth="1"/>
    <col min="1084" max="1084" width="6.875" style="58" bestFit="1" customWidth="1"/>
    <col min="1085" max="1085" width="10.25" style="58" bestFit="1" customWidth="1"/>
    <col min="1086" max="1088" width="6.875" style="58" bestFit="1" customWidth="1"/>
    <col min="1089" max="1089" width="9.25" style="58" bestFit="1" customWidth="1"/>
    <col min="1090" max="1090" width="17.875" style="58" bestFit="1" customWidth="1"/>
    <col min="1091" max="1091" width="6.875" style="58" bestFit="1" customWidth="1"/>
    <col min="1092" max="1092" width="8.875" style="58" bestFit="1" customWidth="1"/>
    <col min="1093" max="1095" width="6.875" style="58" bestFit="1" customWidth="1"/>
    <col min="1096" max="1096" width="7.875" style="58" bestFit="1" customWidth="1"/>
    <col min="1097" max="1097" width="10.25" style="58" bestFit="1" customWidth="1"/>
    <col min="1098" max="1098" width="17.875" style="58" bestFit="1" customWidth="1"/>
    <col min="1099" max="1099" width="6" style="58" bestFit="1" customWidth="1"/>
    <col min="1100" max="1100" width="8.875" style="58" bestFit="1" customWidth="1"/>
    <col min="1101" max="1103" width="6" style="58" bestFit="1" customWidth="1"/>
    <col min="1104" max="1104" width="10.25" style="58" bestFit="1" customWidth="1"/>
    <col min="1105" max="1105" width="17.875" style="58" bestFit="1" customWidth="1"/>
    <col min="1106" max="1106" width="6" style="58" bestFit="1" customWidth="1"/>
    <col min="1107" max="1107" width="8.875" style="58" bestFit="1" customWidth="1"/>
    <col min="1108" max="1110" width="6" style="58" bestFit="1" customWidth="1"/>
    <col min="1111" max="1111" width="10.25" style="58" bestFit="1" customWidth="1"/>
    <col min="1112" max="1112" width="17.875" style="58" bestFit="1" customWidth="1"/>
    <col min="1113" max="1113" width="6" style="58" bestFit="1" customWidth="1"/>
    <col min="1114" max="1114" width="8.875" style="58" bestFit="1" customWidth="1"/>
    <col min="1115" max="1117" width="6" style="58" bestFit="1" customWidth="1"/>
    <col min="1118" max="1118" width="9.25" style="58" bestFit="1" customWidth="1"/>
    <col min="1119" max="1119" width="17.875" style="58" bestFit="1" customWidth="1"/>
    <col min="1120" max="1120" width="6" style="58" bestFit="1" customWidth="1"/>
    <col min="1121" max="1121" width="8.875" style="58" bestFit="1" customWidth="1"/>
    <col min="1122" max="1124" width="6" style="58" bestFit="1" customWidth="1"/>
    <col min="1125" max="1125" width="10.25" style="58" bestFit="1" customWidth="1"/>
    <col min="1126" max="1126" width="17.875" style="58" bestFit="1" customWidth="1"/>
    <col min="1127" max="1127" width="6" style="58" bestFit="1" customWidth="1"/>
    <col min="1128" max="1128" width="7.875" style="58" bestFit="1" customWidth="1"/>
    <col min="1129" max="1129" width="5.25" style="58" bestFit="1" customWidth="1"/>
    <col min="1130" max="1130" width="6" style="58" bestFit="1" customWidth="1"/>
    <col min="1131" max="1131" width="5.25" style="58" bestFit="1" customWidth="1"/>
    <col min="1132" max="1132" width="9.25" style="58" bestFit="1" customWidth="1"/>
    <col min="1133" max="1133" width="17.875" style="58" bestFit="1" customWidth="1"/>
    <col min="1134" max="1134" width="6" style="58" bestFit="1" customWidth="1"/>
    <col min="1135" max="1135" width="8.875" style="58" bestFit="1" customWidth="1"/>
    <col min="1136" max="1137" width="6" style="58" bestFit="1" customWidth="1"/>
    <col min="1138" max="1138" width="5.25" style="58" bestFit="1" customWidth="1"/>
    <col min="1139" max="1139" width="10.25" style="58" bestFit="1" customWidth="1"/>
    <col min="1140" max="1140" width="17.875" style="58" bestFit="1" customWidth="1"/>
    <col min="1141" max="1141" width="5.25" style="58" bestFit="1" customWidth="1"/>
    <col min="1142" max="1142" width="7.875" style="58" bestFit="1" customWidth="1"/>
    <col min="1143" max="1145" width="5.25" style="58" bestFit="1" customWidth="1"/>
    <col min="1146" max="1146" width="9.25" style="58" bestFit="1" customWidth="1"/>
    <col min="1147" max="1147" width="17.875" bestFit="1" customWidth="1"/>
    <col min="1148" max="1148" width="5.25" bestFit="1" customWidth="1"/>
    <col min="1149" max="1149" width="7.875" bestFit="1" customWidth="1"/>
    <col min="1150" max="1152" width="5.25" bestFit="1" customWidth="1"/>
    <col min="1153" max="1153" width="9.25" bestFit="1" customWidth="1"/>
    <col min="1154" max="1154" width="7.875" bestFit="1" customWidth="1"/>
    <col min="1155" max="1155" width="17.875" bestFit="1" customWidth="1"/>
    <col min="1156" max="1156" width="6.875" bestFit="1" customWidth="1"/>
    <col min="1157" max="1157" width="10.25" bestFit="1" customWidth="1"/>
    <col min="1158" max="1160" width="6.875" bestFit="1" customWidth="1"/>
    <col min="1161" max="1161" width="7.875" bestFit="1" customWidth="1"/>
    <col min="1162" max="1162" width="17.875" bestFit="1" customWidth="1"/>
    <col min="1163" max="1163" width="6.875" bestFit="1" customWidth="1"/>
    <col min="1164" max="1164" width="8.875" bestFit="1" customWidth="1"/>
    <col min="1165" max="1167" width="6.875" bestFit="1" customWidth="1"/>
    <col min="1168" max="1168" width="7.875" bestFit="1" customWidth="1"/>
    <col min="1169" max="1169" width="17.875" bestFit="1" customWidth="1"/>
    <col min="1170" max="1170" width="6.875" bestFit="1" customWidth="1"/>
    <col min="1171" max="1171" width="10.25" bestFit="1" customWidth="1"/>
    <col min="1172" max="1174" width="6.875" bestFit="1" customWidth="1"/>
    <col min="1175" max="1175" width="7.875" bestFit="1" customWidth="1"/>
    <col min="1176" max="1176" width="17.875" bestFit="1" customWidth="1"/>
    <col min="1177" max="1177" width="6.875" bestFit="1" customWidth="1"/>
    <col min="1178" max="1178" width="10.25" bestFit="1" customWidth="1"/>
    <col min="1179" max="1181" width="6.875" bestFit="1" customWidth="1"/>
    <col min="1182" max="1182" width="7.875" bestFit="1" customWidth="1"/>
    <col min="1183" max="1183" width="17.875" bestFit="1" customWidth="1"/>
    <col min="1184" max="1184" width="6.875" bestFit="1" customWidth="1"/>
    <col min="1185" max="1185" width="10.25" bestFit="1" customWidth="1"/>
    <col min="1186" max="1188" width="6.875" bestFit="1" customWidth="1"/>
    <col min="1189" max="1189" width="7.875" bestFit="1" customWidth="1"/>
    <col min="1190" max="1190" width="17.875" bestFit="1" customWidth="1"/>
    <col min="1191" max="1191" width="6.875" bestFit="1" customWidth="1"/>
    <col min="1192" max="1192" width="10.25" bestFit="1" customWidth="1"/>
    <col min="1193" max="1195" width="6.875" bestFit="1" customWidth="1"/>
    <col min="1196" max="1196" width="7.875" bestFit="1" customWidth="1"/>
    <col min="1197" max="1197" width="17.875" bestFit="1" customWidth="1"/>
    <col min="1198" max="1198" width="6.875" bestFit="1" customWidth="1"/>
    <col min="1199" max="1199" width="8.875" bestFit="1" customWidth="1"/>
    <col min="1200" max="1202" width="6.875" bestFit="1" customWidth="1"/>
    <col min="1203" max="1203" width="7.875" bestFit="1" customWidth="1"/>
    <col min="1204" max="1204" width="17.875" bestFit="1" customWidth="1"/>
    <col min="1205" max="1205" width="6.875" bestFit="1" customWidth="1"/>
    <col min="1206" max="1206" width="10.25" bestFit="1" customWidth="1"/>
    <col min="1207" max="1209" width="6.875" bestFit="1" customWidth="1"/>
    <col min="1210" max="1210" width="7.875" bestFit="1" customWidth="1"/>
    <col min="1211" max="1211" width="9.25" bestFit="1" customWidth="1"/>
    <col min="1212" max="1212" width="17.875" bestFit="1" customWidth="1"/>
    <col min="1213" max="1213" width="6.875" bestFit="1" customWidth="1"/>
    <col min="1214" max="1214" width="8.875" bestFit="1" customWidth="1"/>
    <col min="1215" max="1217" width="6.875" bestFit="1" customWidth="1"/>
    <col min="1218" max="1218" width="7.875" bestFit="1" customWidth="1"/>
    <col min="1219" max="1219" width="17.875" bestFit="1" customWidth="1"/>
    <col min="1220" max="1220" width="6.875" bestFit="1" customWidth="1"/>
    <col min="1221" max="1221" width="8.875" bestFit="1" customWidth="1"/>
    <col min="1222" max="1224" width="6.875" bestFit="1" customWidth="1"/>
    <col min="1225" max="1225" width="7.875" bestFit="1" customWidth="1"/>
    <col min="1226" max="1226" width="17.875" bestFit="1" customWidth="1"/>
    <col min="1227" max="1227" width="6.875" bestFit="1" customWidth="1"/>
    <col min="1228" max="1228" width="8.875" bestFit="1" customWidth="1"/>
    <col min="1229" max="1231" width="6.875" bestFit="1" customWidth="1"/>
    <col min="1232" max="1232" width="9.25" bestFit="1" customWidth="1"/>
    <col min="1233" max="1233" width="17.875" bestFit="1" customWidth="1"/>
    <col min="1234" max="1234" width="6.875" bestFit="1" customWidth="1"/>
    <col min="1235" max="1235" width="8.875" bestFit="1" customWidth="1"/>
    <col min="1236" max="1238" width="6.875" bestFit="1" customWidth="1"/>
    <col min="1239" max="1239" width="9.25" bestFit="1" customWidth="1"/>
    <col min="1240" max="1240" width="17.875" bestFit="1" customWidth="1"/>
    <col min="1241" max="1241" width="6.875" bestFit="1" customWidth="1"/>
    <col min="1242" max="1242" width="8.875" bestFit="1" customWidth="1"/>
    <col min="1243" max="1245" width="6.875" bestFit="1" customWidth="1"/>
    <col min="1246" max="1246" width="9.25" bestFit="1" customWidth="1"/>
    <col min="1247" max="1247" width="17.875" bestFit="1" customWidth="1"/>
    <col min="1248" max="1248" width="6.875" bestFit="1" customWidth="1"/>
    <col min="1249" max="1249" width="10.25" bestFit="1" customWidth="1"/>
    <col min="1250" max="1252" width="6.875" bestFit="1" customWidth="1"/>
    <col min="1253" max="1253" width="9.25" bestFit="1" customWidth="1"/>
    <col min="1254" max="1254" width="17.875" bestFit="1" customWidth="1"/>
    <col min="1255" max="1255" width="6.875" bestFit="1" customWidth="1"/>
    <col min="1256" max="1256" width="8.875" bestFit="1" customWidth="1"/>
    <col min="1257" max="1259" width="6.875" bestFit="1" customWidth="1"/>
    <col min="1260" max="1260" width="7.875" bestFit="1" customWidth="1"/>
    <col min="1261" max="1261" width="17.875" bestFit="1" customWidth="1"/>
    <col min="1262" max="1262" width="6.875" bestFit="1" customWidth="1"/>
    <col min="1263" max="1263" width="8.875" bestFit="1" customWidth="1"/>
    <col min="1264" max="1266" width="6.875" bestFit="1" customWidth="1"/>
    <col min="1267" max="1267" width="9.25" bestFit="1" customWidth="1"/>
    <col min="1268" max="1268" width="7.875" bestFit="1" customWidth="1"/>
    <col min="1269" max="1269" width="17.875" bestFit="1" customWidth="1"/>
    <col min="1270" max="1270" width="6.875" bestFit="1" customWidth="1"/>
    <col min="1271" max="1271" width="8.875" bestFit="1" customWidth="1"/>
    <col min="1272" max="1273" width="6.875" bestFit="1" customWidth="1"/>
    <col min="1274" max="1274" width="6" bestFit="1" customWidth="1"/>
    <col min="1275" max="1275" width="7.875" bestFit="1" customWidth="1"/>
    <col min="1276" max="1276" width="17.875" bestFit="1" customWidth="1"/>
    <col min="1277" max="1277" width="6.875" bestFit="1" customWidth="1"/>
    <col min="1278" max="1278" width="8.875" bestFit="1" customWidth="1"/>
    <col min="1279" max="1281" width="6.875" bestFit="1" customWidth="1"/>
    <col min="1282" max="1282" width="7.875" bestFit="1" customWidth="1"/>
    <col min="1283" max="1283" width="17.875" bestFit="1" customWidth="1"/>
    <col min="1284" max="1284" width="6.875" bestFit="1" customWidth="1"/>
    <col min="1285" max="1285" width="8.875" bestFit="1" customWidth="1"/>
    <col min="1286" max="1288" width="6.875" bestFit="1" customWidth="1"/>
    <col min="1289" max="1289" width="7.875" bestFit="1" customWidth="1"/>
    <col min="1290" max="1290" width="17.875" bestFit="1" customWidth="1"/>
    <col min="1291" max="1291" width="6.875" bestFit="1" customWidth="1"/>
    <col min="1292" max="1292" width="8.875" bestFit="1" customWidth="1"/>
    <col min="1293" max="1295" width="6.875" bestFit="1" customWidth="1"/>
    <col min="1296" max="1296" width="9.25" bestFit="1" customWidth="1"/>
    <col min="1297" max="1297" width="17.875" bestFit="1" customWidth="1"/>
    <col min="1298" max="1298" width="6.875" bestFit="1" customWidth="1"/>
    <col min="1299" max="1299" width="10.25" bestFit="1" customWidth="1"/>
    <col min="1300" max="1302" width="6.875" bestFit="1" customWidth="1"/>
    <col min="1303" max="1303" width="9.25" bestFit="1" customWidth="1"/>
    <col min="1304" max="1304" width="17.875" bestFit="1" customWidth="1"/>
    <col min="1305" max="1305" width="6.875" bestFit="1" customWidth="1"/>
    <col min="1306" max="1306" width="10.25" bestFit="1" customWidth="1"/>
    <col min="1307" max="1309" width="6.875" bestFit="1" customWidth="1"/>
    <col min="1310" max="1310" width="10.25" bestFit="1" customWidth="1"/>
    <col min="1311" max="1311" width="17.875" bestFit="1" customWidth="1"/>
    <col min="1312" max="1312" width="6.875" bestFit="1" customWidth="1"/>
    <col min="1313" max="1313" width="10.25" bestFit="1" customWidth="1"/>
    <col min="1314" max="1316" width="6.875" bestFit="1" customWidth="1"/>
    <col min="1317" max="1317" width="9.25" bestFit="1" customWidth="1"/>
    <col min="1318" max="1318" width="17.875" bestFit="1" customWidth="1"/>
    <col min="1319" max="1319" width="6.875" bestFit="1" customWidth="1"/>
    <col min="1320" max="1320" width="10.25" bestFit="1" customWidth="1"/>
    <col min="1321" max="1321" width="6" bestFit="1" customWidth="1"/>
    <col min="1322" max="1322" width="6.875" bestFit="1" customWidth="1"/>
    <col min="1323" max="1323" width="6" bestFit="1" customWidth="1"/>
    <col min="1324" max="1324" width="9.25" bestFit="1" customWidth="1"/>
    <col min="1325" max="1325" width="10.25" bestFit="1" customWidth="1"/>
    <col min="1326" max="1326" width="18" bestFit="1" customWidth="1"/>
    <col min="1327" max="1327" width="7.75" bestFit="1" customWidth="1"/>
    <col min="1328" max="1328" width="11" bestFit="1" customWidth="1"/>
    <col min="1329" max="1331" width="7.75" bestFit="1" customWidth="1"/>
    <col min="1332" max="1332" width="10.25" bestFit="1" customWidth="1"/>
    <col min="1333" max="1333" width="18" bestFit="1" customWidth="1"/>
    <col min="1334" max="1334" width="7.75" bestFit="1" customWidth="1"/>
    <col min="1335" max="1335" width="11" bestFit="1" customWidth="1"/>
    <col min="1336" max="1338" width="7.75" bestFit="1" customWidth="1"/>
    <col min="1339" max="1339" width="10.25" bestFit="1" customWidth="1"/>
    <col min="1340" max="1340" width="18" bestFit="1" customWidth="1"/>
    <col min="1341" max="1341" width="7.75" bestFit="1" customWidth="1"/>
    <col min="1342" max="1342" width="9.625" bestFit="1" customWidth="1"/>
    <col min="1343" max="1345" width="7.75" bestFit="1" customWidth="1"/>
    <col min="1346" max="1346" width="10.25" bestFit="1" customWidth="1"/>
    <col min="1347" max="1347" width="18" bestFit="1" customWidth="1"/>
    <col min="1348" max="1348" width="7.75" bestFit="1" customWidth="1"/>
    <col min="1349" max="1349" width="9.625" bestFit="1" customWidth="1"/>
    <col min="1350" max="1352" width="7.75" bestFit="1" customWidth="1"/>
    <col min="1353" max="1353" width="10.25" bestFit="1" customWidth="1"/>
    <col min="1354" max="1354" width="18" bestFit="1" customWidth="1"/>
    <col min="1355" max="1355" width="7.75" bestFit="1" customWidth="1"/>
    <col min="1356" max="1356" width="11" bestFit="1" customWidth="1"/>
    <col min="1357" max="1359" width="7.75" bestFit="1" customWidth="1"/>
    <col min="1360" max="1360" width="10.25" bestFit="1" customWidth="1"/>
    <col min="1361" max="1361" width="18" bestFit="1" customWidth="1"/>
    <col min="1362" max="1362" width="7.75" bestFit="1" customWidth="1"/>
    <col min="1363" max="1363" width="11" bestFit="1" customWidth="1"/>
    <col min="1364" max="1366" width="7.75" bestFit="1" customWidth="1"/>
    <col min="1367" max="1367" width="10.25" bestFit="1" customWidth="1"/>
    <col min="1368" max="1368" width="18" bestFit="1" customWidth="1"/>
    <col min="1369" max="1369" width="7.75" bestFit="1" customWidth="1"/>
    <col min="1370" max="1370" width="11" bestFit="1" customWidth="1"/>
    <col min="1371" max="1373" width="7.75" bestFit="1" customWidth="1"/>
    <col min="1374" max="1374" width="10.25" bestFit="1" customWidth="1"/>
    <col min="1375" max="1375" width="18" bestFit="1" customWidth="1"/>
    <col min="1376" max="1376" width="7.75" bestFit="1" customWidth="1"/>
    <col min="1377" max="1377" width="11" bestFit="1" customWidth="1"/>
    <col min="1378" max="1380" width="7.75" bestFit="1" customWidth="1"/>
    <col min="1381" max="1381" width="10.25" bestFit="1" customWidth="1"/>
    <col min="1382" max="1382" width="8.875" bestFit="1" customWidth="1"/>
    <col min="1383" max="1383" width="18" bestFit="1" customWidth="1"/>
    <col min="1384" max="1384" width="8.875" bestFit="1" customWidth="1"/>
    <col min="1385" max="1385" width="12.25" bestFit="1" customWidth="1"/>
    <col min="1386" max="1388" width="8.875" bestFit="1" customWidth="1"/>
    <col min="1389" max="1389" width="10.25" bestFit="1" customWidth="1"/>
    <col min="1390" max="1390" width="18" bestFit="1" customWidth="1"/>
    <col min="1391" max="1391" width="8.875" bestFit="1" customWidth="1"/>
    <col min="1392" max="1392" width="12.25" bestFit="1" customWidth="1"/>
    <col min="1393" max="1396" width="8.875" bestFit="1" customWidth="1"/>
    <col min="1397" max="1397" width="18" bestFit="1" customWidth="1"/>
    <col min="1398" max="1398" width="8.875" bestFit="1" customWidth="1"/>
    <col min="1399" max="1399" width="12.25" bestFit="1" customWidth="1"/>
    <col min="1400" max="1403" width="8.875" bestFit="1" customWidth="1"/>
    <col min="1404" max="1404" width="18" bestFit="1" customWidth="1"/>
    <col min="1405" max="1405" width="8.875" bestFit="1" customWidth="1"/>
    <col min="1406" max="1406" width="12.25" bestFit="1" customWidth="1"/>
    <col min="1407" max="1410" width="8.875" bestFit="1" customWidth="1"/>
    <col min="1411" max="1411" width="18" bestFit="1" customWidth="1"/>
    <col min="1412" max="1412" width="8.875" bestFit="1" customWidth="1"/>
    <col min="1413" max="1413" width="12.25" bestFit="1" customWidth="1"/>
    <col min="1414" max="1417" width="8.875" bestFit="1" customWidth="1"/>
    <col min="1418" max="1418" width="18" bestFit="1" customWidth="1"/>
    <col min="1419" max="1419" width="8.875" bestFit="1" customWidth="1"/>
    <col min="1420" max="1420" width="12.25" bestFit="1" customWidth="1"/>
    <col min="1421" max="1423" width="8.875" bestFit="1" customWidth="1"/>
    <col min="1424" max="1424" width="10.25" bestFit="1" customWidth="1"/>
    <col min="1425" max="1425" width="18" bestFit="1" customWidth="1"/>
    <col min="1426" max="1426" width="8.875" bestFit="1" customWidth="1"/>
    <col min="1427" max="1427" width="12.25" bestFit="1" customWidth="1"/>
    <col min="1428" max="1430" width="8.875" bestFit="1" customWidth="1"/>
    <col min="1431" max="1431" width="10.25" bestFit="1" customWidth="1"/>
    <col min="1432" max="1432" width="18" bestFit="1" customWidth="1"/>
    <col min="1433" max="1433" width="8.875" bestFit="1" customWidth="1"/>
    <col min="1434" max="1434" width="11" bestFit="1" customWidth="1"/>
    <col min="1435" max="1438" width="8.875" bestFit="1" customWidth="1"/>
    <col min="1439" max="1439" width="7.75" bestFit="1" customWidth="1"/>
    <col min="1440" max="1440" width="18" bestFit="1" customWidth="1"/>
    <col min="1441" max="1441" width="8.875" bestFit="1" customWidth="1"/>
    <col min="1442" max="1442" width="11" bestFit="1" customWidth="1"/>
    <col min="1443" max="1445" width="8.875" bestFit="1" customWidth="1"/>
    <col min="1446" max="1446" width="7.75" bestFit="1" customWidth="1"/>
    <col min="1447" max="1447" width="18" bestFit="1" customWidth="1"/>
    <col min="1448" max="1448" width="8.875" bestFit="1" customWidth="1"/>
    <col min="1449" max="1449" width="11" bestFit="1" customWidth="1"/>
    <col min="1450" max="1452" width="8.875" bestFit="1" customWidth="1"/>
    <col min="1453" max="1453" width="7.75" bestFit="1" customWidth="1"/>
    <col min="1454" max="1454" width="18" bestFit="1" customWidth="1"/>
    <col min="1455" max="1455" width="8.875" bestFit="1" customWidth="1"/>
    <col min="1456" max="1456" width="11" bestFit="1" customWidth="1"/>
    <col min="1457" max="1459" width="8.875" bestFit="1" customWidth="1"/>
    <col min="1460" max="1460" width="7.75" bestFit="1" customWidth="1"/>
    <col min="1461" max="1461" width="18" bestFit="1" customWidth="1"/>
    <col min="1462" max="1462" width="8.875" bestFit="1" customWidth="1"/>
    <col min="1463" max="1463" width="12.25" bestFit="1" customWidth="1"/>
    <col min="1464" max="1467" width="8.875" bestFit="1" customWidth="1"/>
    <col min="1468" max="1468" width="18" bestFit="1" customWidth="1"/>
    <col min="1469" max="1469" width="8.875" bestFit="1" customWidth="1"/>
    <col min="1470" max="1470" width="12.25" bestFit="1" customWidth="1"/>
    <col min="1471" max="1473" width="8.875" bestFit="1" customWidth="1"/>
    <col min="1474" max="1474" width="7.75" bestFit="1" customWidth="1"/>
    <col min="1475" max="1475" width="18" bestFit="1" customWidth="1"/>
    <col min="1476" max="1476" width="8.875" bestFit="1" customWidth="1"/>
    <col min="1477" max="1477" width="12.25" bestFit="1" customWidth="1"/>
    <col min="1478" max="1481" width="8.875" bestFit="1" customWidth="1"/>
    <col min="1482" max="1482" width="18" bestFit="1" customWidth="1"/>
    <col min="1483" max="1483" width="8.875" bestFit="1" customWidth="1"/>
    <col min="1484" max="1484" width="11" bestFit="1" customWidth="1"/>
    <col min="1485" max="1487" width="8.875" bestFit="1" customWidth="1"/>
    <col min="1488" max="1488" width="7.75" bestFit="1" customWidth="1"/>
    <col min="1489" max="1489" width="18" bestFit="1" customWidth="1"/>
    <col min="1490" max="1490" width="8.875" bestFit="1" customWidth="1"/>
    <col min="1491" max="1491" width="11" bestFit="1" customWidth="1"/>
    <col min="1492" max="1494" width="8.875" bestFit="1" customWidth="1"/>
    <col min="1495" max="1495" width="7.75" bestFit="1" customWidth="1"/>
    <col min="1496" max="1496" width="10.25" bestFit="1" customWidth="1"/>
    <col min="1497" max="1497" width="18" bestFit="1" customWidth="1"/>
    <col min="1498" max="1498" width="8.875" bestFit="1" customWidth="1"/>
    <col min="1499" max="1499" width="12.25" bestFit="1" customWidth="1"/>
    <col min="1500" max="1503" width="8.875" bestFit="1" customWidth="1"/>
    <col min="1504" max="1504" width="18" bestFit="1" customWidth="1"/>
    <col min="1505" max="1505" width="8.875" bestFit="1" customWidth="1"/>
    <col min="1506" max="1506" width="11" bestFit="1" customWidth="1"/>
    <col min="1507" max="1510" width="8.875" bestFit="1" customWidth="1"/>
    <col min="1511" max="1511" width="18" bestFit="1" customWidth="1"/>
    <col min="1512" max="1512" width="8.875" bestFit="1" customWidth="1"/>
    <col min="1513" max="1513" width="12.25" bestFit="1" customWidth="1"/>
    <col min="1514" max="1516" width="8.875" bestFit="1" customWidth="1"/>
    <col min="1517" max="1517" width="10.25" bestFit="1" customWidth="1"/>
    <col min="1518" max="1518" width="18" bestFit="1" customWidth="1"/>
    <col min="1519" max="1519" width="8.875" bestFit="1" customWidth="1"/>
    <col min="1520" max="1520" width="11" bestFit="1" customWidth="1"/>
    <col min="1521" max="1523" width="8.875" bestFit="1" customWidth="1"/>
    <col min="1524" max="1524" width="10.25" bestFit="1" customWidth="1"/>
    <col min="1525" max="1525" width="18" bestFit="1" customWidth="1"/>
    <col min="1526" max="1526" width="8.875" bestFit="1" customWidth="1"/>
    <col min="1527" max="1527" width="12.25" bestFit="1" customWidth="1"/>
    <col min="1528" max="1530" width="8.875" bestFit="1" customWidth="1"/>
    <col min="1531" max="1531" width="10.25" bestFit="1" customWidth="1"/>
    <col min="1532" max="1532" width="18" bestFit="1" customWidth="1"/>
    <col min="1533" max="1533" width="8.875" bestFit="1" customWidth="1"/>
    <col min="1534" max="1534" width="11" bestFit="1" customWidth="1"/>
    <col min="1535" max="1537" width="8.875" bestFit="1" customWidth="1"/>
    <col min="1538" max="1538" width="10.25" bestFit="1" customWidth="1"/>
    <col min="1539" max="1539" width="18" bestFit="1" customWidth="1"/>
    <col min="1540" max="1540" width="8.875" bestFit="1" customWidth="1"/>
    <col min="1541" max="1541" width="12.25" bestFit="1" customWidth="1"/>
    <col min="1542" max="1544" width="8.875" bestFit="1" customWidth="1"/>
    <col min="1545" max="1545" width="10.25" bestFit="1" customWidth="1"/>
    <col min="1546" max="1546" width="18" bestFit="1" customWidth="1"/>
    <col min="1547" max="1547" width="8.875" bestFit="1" customWidth="1"/>
    <col min="1548" max="1548" width="11" bestFit="1" customWidth="1"/>
    <col min="1549" max="1550" width="8.875" bestFit="1" customWidth="1"/>
    <col min="1551" max="1551" width="7.75" bestFit="1" customWidth="1"/>
    <col min="1552" max="1553" width="10.25" bestFit="1" customWidth="1"/>
    <col min="1554" max="1554" width="17.875" bestFit="1" customWidth="1"/>
    <col min="1555" max="1555" width="6.875" bestFit="1" customWidth="1"/>
    <col min="1556" max="1556" width="10.25" bestFit="1" customWidth="1"/>
    <col min="1557" max="1559" width="6.875" bestFit="1" customWidth="1"/>
    <col min="1560" max="1560" width="10.25" bestFit="1" customWidth="1"/>
    <col min="1561" max="1561" width="17.875" bestFit="1" customWidth="1"/>
    <col min="1562" max="1562" width="6.875" bestFit="1" customWidth="1"/>
    <col min="1563" max="1563" width="8.875" bestFit="1" customWidth="1"/>
    <col min="1564" max="1566" width="6.875" bestFit="1" customWidth="1"/>
    <col min="1567" max="1567" width="10.25" bestFit="1" customWidth="1"/>
    <col min="1568" max="1568" width="17.875" bestFit="1" customWidth="1"/>
    <col min="1569" max="1569" width="6.875" bestFit="1" customWidth="1"/>
    <col min="1570" max="1570" width="10.25" bestFit="1" customWidth="1"/>
    <col min="1571" max="1573" width="6.875" bestFit="1" customWidth="1"/>
    <col min="1574" max="1574" width="10.25" bestFit="1" customWidth="1"/>
    <col min="1575" max="1575" width="17.875" bestFit="1" customWidth="1"/>
    <col min="1576" max="1576" width="6.875" bestFit="1" customWidth="1"/>
    <col min="1577" max="1577" width="10.25" bestFit="1" customWidth="1"/>
    <col min="1578" max="1580" width="6.875" bestFit="1" customWidth="1"/>
    <col min="1581" max="1581" width="10.25" bestFit="1" customWidth="1"/>
    <col min="1582" max="1582" width="17.875" bestFit="1" customWidth="1"/>
    <col min="1583" max="1583" width="6.875" bestFit="1" customWidth="1"/>
    <col min="1584" max="1584" width="10.25" bestFit="1" customWidth="1"/>
    <col min="1585" max="1587" width="6.875" bestFit="1" customWidth="1"/>
    <col min="1588" max="1588" width="10.25" bestFit="1" customWidth="1"/>
    <col min="1589" max="1589" width="17.875" bestFit="1" customWidth="1"/>
    <col min="1590" max="1590" width="6.875" bestFit="1" customWidth="1"/>
    <col min="1591" max="1591" width="10.25" bestFit="1" customWidth="1"/>
    <col min="1592" max="1594" width="6.875" bestFit="1" customWidth="1"/>
    <col min="1595" max="1595" width="10.25" bestFit="1" customWidth="1"/>
    <col min="1596" max="1596" width="17.875" bestFit="1" customWidth="1"/>
    <col min="1597" max="1597" width="6.875" bestFit="1" customWidth="1"/>
    <col min="1598" max="1598" width="10.25" bestFit="1" customWidth="1"/>
    <col min="1599" max="1601" width="6.875" bestFit="1" customWidth="1"/>
    <col min="1602" max="1602" width="10.25" bestFit="1" customWidth="1"/>
    <col min="1603" max="1603" width="17.875" bestFit="1" customWidth="1"/>
    <col min="1604" max="1604" width="6.875" bestFit="1" customWidth="1"/>
    <col min="1605" max="1605" width="10.25" bestFit="1" customWidth="1"/>
    <col min="1606" max="1608" width="6.875" bestFit="1" customWidth="1"/>
    <col min="1609" max="1609" width="10.25" bestFit="1" customWidth="1"/>
    <col min="1610" max="1610" width="9.25" bestFit="1" customWidth="1"/>
    <col min="1611" max="1611" width="17.875" bestFit="1" customWidth="1"/>
    <col min="1612" max="1612" width="5.875" bestFit="1" customWidth="1"/>
    <col min="1613" max="1613" width="8.875" bestFit="1" customWidth="1"/>
    <col min="1614" max="1616" width="5.875" bestFit="1" customWidth="1"/>
    <col min="1617" max="1617" width="9.25" bestFit="1" customWidth="1"/>
    <col min="1618" max="1618" width="17.875" bestFit="1" customWidth="1"/>
    <col min="1619" max="1619" width="5.875" bestFit="1" customWidth="1"/>
    <col min="1620" max="1620" width="8.875" bestFit="1" customWidth="1"/>
    <col min="1621" max="1623" width="5.875" bestFit="1" customWidth="1"/>
    <col min="1624" max="1624" width="9.25" bestFit="1" customWidth="1"/>
    <col min="1625" max="1625" width="17.875" bestFit="1" customWidth="1"/>
    <col min="1626" max="1626" width="5.875" bestFit="1" customWidth="1"/>
    <col min="1627" max="1627" width="8.875" bestFit="1" customWidth="1"/>
    <col min="1628" max="1630" width="5.875" bestFit="1" customWidth="1"/>
    <col min="1631" max="1631" width="9.25" bestFit="1" customWidth="1"/>
    <col min="1632" max="1632" width="17.875" bestFit="1" customWidth="1"/>
    <col min="1633" max="1633" width="5.875" bestFit="1" customWidth="1"/>
    <col min="1634" max="1634" width="8.875" bestFit="1" customWidth="1"/>
    <col min="1635" max="1637" width="5.875" bestFit="1" customWidth="1"/>
    <col min="1638" max="1638" width="9.25" bestFit="1" customWidth="1"/>
    <col min="1639" max="1639" width="17.875" bestFit="1" customWidth="1"/>
    <col min="1640" max="1640" width="5.875" bestFit="1" customWidth="1"/>
    <col min="1641" max="1641" width="8.875" bestFit="1" customWidth="1"/>
    <col min="1642" max="1644" width="5.875" bestFit="1" customWidth="1"/>
    <col min="1645" max="1645" width="9.25" bestFit="1" customWidth="1"/>
    <col min="1646" max="1646" width="17.875" bestFit="1" customWidth="1"/>
    <col min="1647" max="1647" width="5.875" bestFit="1" customWidth="1"/>
    <col min="1648" max="1648" width="8.875" bestFit="1" customWidth="1"/>
    <col min="1649" max="1651" width="5.875" bestFit="1" customWidth="1"/>
    <col min="1652" max="1652" width="9.25" bestFit="1" customWidth="1"/>
    <col min="1653" max="1653" width="17.875" bestFit="1" customWidth="1"/>
    <col min="1654" max="1654" width="5.875" bestFit="1" customWidth="1"/>
    <col min="1655" max="1655" width="8.875" bestFit="1" customWidth="1"/>
    <col min="1656" max="1658" width="5.875" bestFit="1" customWidth="1"/>
    <col min="1659" max="1659" width="9.25" bestFit="1" customWidth="1"/>
    <col min="1660" max="1660" width="17.875" bestFit="1" customWidth="1"/>
    <col min="1661" max="1661" width="5.875" bestFit="1" customWidth="1"/>
    <col min="1662" max="1662" width="8.875" bestFit="1" customWidth="1"/>
    <col min="1663" max="1665" width="5.875" bestFit="1" customWidth="1"/>
    <col min="1666" max="1667" width="9.25" bestFit="1" customWidth="1"/>
    <col min="1668" max="1668" width="17.875" bestFit="1" customWidth="1"/>
    <col min="1669" max="1669" width="5.875" bestFit="1" customWidth="1"/>
    <col min="1670" max="1670" width="8.875" bestFit="1" customWidth="1"/>
    <col min="1671" max="1673" width="5.875" bestFit="1" customWidth="1"/>
    <col min="1674" max="1674" width="9.25" bestFit="1" customWidth="1"/>
    <col min="1675" max="1675" width="17.875" bestFit="1" customWidth="1"/>
    <col min="1676" max="1676" width="5.875" bestFit="1" customWidth="1"/>
    <col min="1677" max="1677" width="8.875" bestFit="1" customWidth="1"/>
    <col min="1678" max="1680" width="5.875" bestFit="1" customWidth="1"/>
    <col min="1681" max="1681" width="9.25" bestFit="1" customWidth="1"/>
    <col min="1682" max="1682" width="17.875" bestFit="1" customWidth="1"/>
    <col min="1683" max="1683" width="5.875" bestFit="1" customWidth="1"/>
    <col min="1684" max="1684" width="8.875" bestFit="1" customWidth="1"/>
    <col min="1685" max="1687" width="5.875" bestFit="1" customWidth="1"/>
    <col min="1688" max="1688" width="10.25" bestFit="1" customWidth="1"/>
    <col min="1689" max="1689" width="17.875" bestFit="1" customWidth="1"/>
    <col min="1690" max="1690" width="5.875" bestFit="1" customWidth="1"/>
    <col min="1691" max="1691" width="10.25" bestFit="1" customWidth="1"/>
    <col min="1692" max="1694" width="5.875" bestFit="1" customWidth="1"/>
    <col min="1695" max="1695" width="10.25" bestFit="1" customWidth="1"/>
    <col min="1696" max="1696" width="17.875" bestFit="1" customWidth="1"/>
    <col min="1697" max="1697" width="5.875" bestFit="1" customWidth="1"/>
    <col min="1698" max="1698" width="8.875" bestFit="1" customWidth="1"/>
    <col min="1699" max="1701" width="5.875" bestFit="1" customWidth="1"/>
    <col min="1702" max="1702" width="9.25" bestFit="1" customWidth="1"/>
    <col min="1703" max="1703" width="17.875" bestFit="1" customWidth="1"/>
    <col min="1704" max="1704" width="5.875" bestFit="1" customWidth="1"/>
    <col min="1705" max="1705" width="8.875" bestFit="1" customWidth="1"/>
    <col min="1706" max="1708" width="5.875" bestFit="1" customWidth="1"/>
    <col min="1709" max="1709" width="10.25" bestFit="1" customWidth="1"/>
    <col min="1710" max="1710" width="17.875" bestFit="1" customWidth="1"/>
    <col min="1711" max="1711" width="5.875" bestFit="1" customWidth="1"/>
    <col min="1712" max="1712" width="8.875" bestFit="1" customWidth="1"/>
    <col min="1713" max="1715" width="5.875" bestFit="1" customWidth="1"/>
    <col min="1716" max="1716" width="9.25" bestFit="1" customWidth="1"/>
    <col min="1717" max="1717" width="17.875" bestFit="1" customWidth="1"/>
    <col min="1718" max="1718" width="5.875" bestFit="1" customWidth="1"/>
    <col min="1719" max="1719" width="8.875" bestFit="1" customWidth="1"/>
    <col min="1720" max="1722" width="5.875" bestFit="1" customWidth="1"/>
    <col min="1723" max="1724" width="9.25" bestFit="1" customWidth="1"/>
    <col min="1725" max="1725" width="17.875" bestFit="1" customWidth="1"/>
    <col min="1726" max="1726" width="5.875" bestFit="1" customWidth="1"/>
    <col min="1727" max="1727" width="8.875" bestFit="1" customWidth="1"/>
    <col min="1728" max="1730" width="5.875" bestFit="1" customWidth="1"/>
    <col min="1731" max="1731" width="9.25" bestFit="1" customWidth="1"/>
    <col min="1732" max="1732" width="17.875" bestFit="1" customWidth="1"/>
    <col min="1733" max="1733" width="5.875" bestFit="1" customWidth="1"/>
    <col min="1734" max="1734" width="8.875" bestFit="1" customWidth="1"/>
    <col min="1735" max="1737" width="5.875" bestFit="1" customWidth="1"/>
    <col min="1738" max="1738" width="9.25" bestFit="1" customWidth="1"/>
    <col min="1739" max="1739" width="17.875" bestFit="1" customWidth="1"/>
    <col min="1740" max="1740" width="5.875" bestFit="1" customWidth="1"/>
    <col min="1741" max="1741" width="8.875" bestFit="1" customWidth="1"/>
    <col min="1742" max="1744" width="5.875" bestFit="1" customWidth="1"/>
    <col min="1745" max="1745" width="10.25" bestFit="1" customWidth="1"/>
    <col min="1746" max="1746" width="17.875" bestFit="1" customWidth="1"/>
    <col min="1747" max="1747" width="5.875" bestFit="1" customWidth="1"/>
    <col min="1748" max="1748" width="10.25" bestFit="1" customWidth="1"/>
    <col min="1749" max="1751" width="5.875" bestFit="1" customWidth="1"/>
    <col min="1752" max="1752" width="10.25" bestFit="1" customWidth="1"/>
    <col min="1753" max="1753" width="17.875" bestFit="1" customWidth="1"/>
    <col min="1754" max="1754" width="5.875" bestFit="1" customWidth="1"/>
    <col min="1755" max="1755" width="8.875" bestFit="1" customWidth="1"/>
    <col min="1756" max="1758" width="5.875" bestFit="1" customWidth="1"/>
    <col min="1759" max="1759" width="9.25" bestFit="1" customWidth="1"/>
    <col min="1760" max="1760" width="17.875" bestFit="1" customWidth="1"/>
    <col min="1761" max="1761" width="5.875" bestFit="1" customWidth="1"/>
    <col min="1762" max="1762" width="8.875" bestFit="1" customWidth="1"/>
    <col min="1763" max="1765" width="5.875" bestFit="1" customWidth="1"/>
    <col min="1766" max="1766" width="10.25" bestFit="1" customWidth="1"/>
    <col min="1767" max="1767" width="17.875" bestFit="1" customWidth="1"/>
    <col min="1768" max="1768" width="5.875" bestFit="1" customWidth="1"/>
    <col min="1769" max="1769" width="8.875" bestFit="1" customWidth="1"/>
    <col min="1770" max="1772" width="5.875" bestFit="1" customWidth="1"/>
    <col min="1773" max="1773" width="9.25" bestFit="1" customWidth="1"/>
    <col min="1774" max="1774" width="17.875" bestFit="1" customWidth="1"/>
    <col min="1775" max="1775" width="5.875" bestFit="1" customWidth="1"/>
    <col min="1776" max="1776" width="8.875" bestFit="1" customWidth="1"/>
    <col min="1777" max="1779" width="5.875" bestFit="1" customWidth="1"/>
    <col min="1780" max="1780" width="9.25" bestFit="1" customWidth="1"/>
    <col min="1781" max="1781" width="10.25" bestFit="1" customWidth="1"/>
    <col min="1782" max="1782" width="17.875" bestFit="1" customWidth="1"/>
    <col min="1783" max="1783" width="5.875" bestFit="1" customWidth="1"/>
    <col min="1784" max="1784" width="7.875" bestFit="1" customWidth="1"/>
    <col min="1785" max="1787" width="5.875" bestFit="1" customWidth="1"/>
    <col min="1788" max="1788" width="7.875" bestFit="1" customWidth="1"/>
    <col min="1789" max="1789" width="17.875" bestFit="1" customWidth="1"/>
    <col min="1790" max="1790" width="5.875" bestFit="1" customWidth="1"/>
    <col min="1791" max="1791" width="7.875" bestFit="1" customWidth="1"/>
    <col min="1792" max="1794" width="5.875" bestFit="1" customWidth="1"/>
    <col min="1795" max="1795" width="7.875" bestFit="1" customWidth="1"/>
    <col min="1796" max="1796" width="17.875" bestFit="1" customWidth="1"/>
    <col min="1797" max="1797" width="5.875" bestFit="1" customWidth="1"/>
    <col min="1798" max="1798" width="7.875" bestFit="1" customWidth="1"/>
    <col min="1799" max="1801" width="5.875" bestFit="1" customWidth="1"/>
    <col min="1802" max="1802" width="7.875" bestFit="1" customWidth="1"/>
    <col min="1803" max="1803" width="17.875" bestFit="1" customWidth="1"/>
    <col min="1804" max="1804" width="5.875" bestFit="1" customWidth="1"/>
    <col min="1805" max="1805" width="7.875" bestFit="1" customWidth="1"/>
    <col min="1806" max="1808" width="5.875" bestFit="1" customWidth="1"/>
    <col min="1809" max="1809" width="7.875" bestFit="1" customWidth="1"/>
    <col min="1810" max="1810" width="17.875" bestFit="1" customWidth="1"/>
    <col min="1811" max="1811" width="5.875" bestFit="1" customWidth="1"/>
    <col min="1812" max="1812" width="7.875" bestFit="1" customWidth="1"/>
    <col min="1813" max="1815" width="5.875" bestFit="1" customWidth="1"/>
    <col min="1816" max="1816" width="7.875" bestFit="1" customWidth="1"/>
    <col min="1817" max="1817" width="17.875" bestFit="1" customWidth="1"/>
    <col min="1818" max="1818" width="5.875" bestFit="1" customWidth="1"/>
    <col min="1819" max="1819" width="7.875" bestFit="1" customWidth="1"/>
    <col min="1820" max="1822" width="5.875" bestFit="1" customWidth="1"/>
    <col min="1823" max="1823" width="7.875" bestFit="1" customWidth="1"/>
    <col min="1824" max="1824" width="17.875" bestFit="1" customWidth="1"/>
    <col min="1825" max="1825" width="5.875" bestFit="1" customWidth="1"/>
    <col min="1826" max="1826" width="7.875" bestFit="1" customWidth="1"/>
    <col min="1827" max="1829" width="5.875" bestFit="1" customWidth="1"/>
    <col min="1830" max="1830" width="9.25" bestFit="1" customWidth="1"/>
    <col min="1831" max="1831" width="17.875" bestFit="1" customWidth="1"/>
    <col min="1832" max="1832" width="5.875" bestFit="1" customWidth="1"/>
    <col min="1833" max="1833" width="7.875" bestFit="1" customWidth="1"/>
    <col min="1834" max="1836" width="5.875" bestFit="1" customWidth="1"/>
    <col min="1837" max="1837" width="7.875" bestFit="1" customWidth="1"/>
    <col min="1838" max="1838" width="9.25" bestFit="1" customWidth="1"/>
    <col min="1839" max="1839" width="17.875" bestFit="1" customWidth="1"/>
    <col min="1840" max="1840" width="5.875" bestFit="1" customWidth="1"/>
    <col min="1841" max="1841" width="8.875" bestFit="1" customWidth="1"/>
    <col min="1842" max="1844" width="5.875" bestFit="1" customWidth="1"/>
    <col min="1845" max="1845" width="9.25" bestFit="1" customWidth="1"/>
    <col min="1846" max="1846" width="17.875" bestFit="1" customWidth="1"/>
    <col min="1847" max="1847" width="5.875" bestFit="1" customWidth="1"/>
    <col min="1848" max="1848" width="8.875" bestFit="1" customWidth="1"/>
    <col min="1849" max="1851" width="5.875" bestFit="1" customWidth="1"/>
    <col min="1852" max="1852" width="10.25" bestFit="1" customWidth="1"/>
    <col min="1853" max="1853" width="17.875" bestFit="1" customWidth="1"/>
    <col min="1854" max="1854" width="5.875" bestFit="1" customWidth="1"/>
    <col min="1855" max="1855" width="8.875" bestFit="1" customWidth="1"/>
    <col min="1856" max="1858" width="5.875" bestFit="1" customWidth="1"/>
    <col min="1859" max="1859" width="10.25" bestFit="1" customWidth="1"/>
    <col min="1860" max="1860" width="17.875" bestFit="1" customWidth="1"/>
    <col min="1861" max="1861" width="5.875" bestFit="1" customWidth="1"/>
    <col min="1862" max="1862" width="7.875" bestFit="1" customWidth="1"/>
    <col min="1863" max="1865" width="5.875" bestFit="1" customWidth="1"/>
    <col min="1866" max="1866" width="9.25" bestFit="1" customWidth="1"/>
    <col min="1867" max="1867" width="17.875" bestFit="1" customWidth="1"/>
    <col min="1868" max="1868" width="5.875" bestFit="1" customWidth="1"/>
    <col min="1869" max="1869" width="8.875" bestFit="1" customWidth="1"/>
    <col min="1870" max="1872" width="5.875" bestFit="1" customWidth="1"/>
    <col min="1873" max="1873" width="9.25" bestFit="1" customWidth="1"/>
    <col min="1874" max="1874" width="17.875" bestFit="1" customWidth="1"/>
    <col min="1875" max="1875" width="5.875" bestFit="1" customWidth="1"/>
    <col min="1876" max="1876" width="8.875" bestFit="1" customWidth="1"/>
    <col min="1877" max="1879" width="5.875" bestFit="1" customWidth="1"/>
    <col min="1880" max="1880" width="9.25" bestFit="1" customWidth="1"/>
    <col min="1881" max="1881" width="17.875" bestFit="1" customWidth="1"/>
    <col min="1882" max="1882" width="5.875" bestFit="1" customWidth="1"/>
    <col min="1883" max="1883" width="8.875" bestFit="1" customWidth="1"/>
    <col min="1884" max="1886" width="5.875" bestFit="1" customWidth="1"/>
    <col min="1887" max="1887" width="9.25" bestFit="1" customWidth="1"/>
    <col min="1888" max="1888" width="17.875" bestFit="1" customWidth="1"/>
    <col min="1889" max="1889" width="5.875" bestFit="1" customWidth="1"/>
    <col min="1890" max="1890" width="7.875" bestFit="1" customWidth="1"/>
    <col min="1891" max="1893" width="5.875" bestFit="1" customWidth="1"/>
    <col min="1894" max="1894" width="9.25" bestFit="1" customWidth="1"/>
    <col min="1895" max="1895" width="10.25" bestFit="1" customWidth="1"/>
    <col min="1896" max="1896" width="17.875" bestFit="1" customWidth="1"/>
    <col min="1897" max="1897" width="6.875" bestFit="1" customWidth="1"/>
    <col min="1898" max="1898" width="10.25" bestFit="1" customWidth="1"/>
    <col min="1899" max="1901" width="6.875" bestFit="1" customWidth="1"/>
    <col min="1902" max="1902" width="10.25" bestFit="1" customWidth="1"/>
    <col min="1903" max="1903" width="17.875" bestFit="1" customWidth="1"/>
    <col min="1904" max="1904" width="6.875" bestFit="1" customWidth="1"/>
    <col min="1905" max="1905" width="8.875" bestFit="1" customWidth="1"/>
    <col min="1906" max="1908" width="6.875" bestFit="1" customWidth="1"/>
    <col min="1909" max="1909" width="10.25" bestFit="1" customWidth="1"/>
    <col min="1910" max="1910" width="17.875" bestFit="1" customWidth="1"/>
    <col min="1911" max="1911" width="6.875" bestFit="1" customWidth="1"/>
    <col min="1912" max="1912" width="10.25" bestFit="1" customWidth="1"/>
    <col min="1913" max="1915" width="6.875" bestFit="1" customWidth="1"/>
    <col min="1916" max="1916" width="10.25" bestFit="1" customWidth="1"/>
    <col min="1917" max="1917" width="17.875" bestFit="1" customWidth="1"/>
    <col min="1918" max="1918" width="6.875" bestFit="1" customWidth="1"/>
    <col min="1919" max="1919" width="10.25" bestFit="1" customWidth="1"/>
    <col min="1920" max="1922" width="6.875" bestFit="1" customWidth="1"/>
    <col min="1923" max="1923" width="10.25" bestFit="1" customWidth="1"/>
    <col min="1924" max="1924" width="17.875" bestFit="1" customWidth="1"/>
    <col min="1925" max="1925" width="6.875" bestFit="1" customWidth="1"/>
    <col min="1926" max="1926" width="10.25" bestFit="1" customWidth="1"/>
    <col min="1927" max="1929" width="6.875" bestFit="1" customWidth="1"/>
    <col min="1930" max="1930" width="10.25" bestFit="1" customWidth="1"/>
    <col min="1931" max="1931" width="17.875" bestFit="1" customWidth="1"/>
    <col min="1932" max="1932" width="6.875" bestFit="1" customWidth="1"/>
    <col min="1933" max="1933" width="10.25" bestFit="1" customWidth="1"/>
    <col min="1934" max="1936" width="6.875" bestFit="1" customWidth="1"/>
    <col min="1937" max="1937" width="10.25" bestFit="1" customWidth="1"/>
    <col min="1938" max="1938" width="17.875" bestFit="1" customWidth="1"/>
    <col min="1939" max="1939" width="6.875" bestFit="1" customWidth="1"/>
    <col min="1940" max="1940" width="10.25" bestFit="1" customWidth="1"/>
    <col min="1941" max="1943" width="6.875" bestFit="1" customWidth="1"/>
    <col min="1944" max="1944" width="10.25" bestFit="1" customWidth="1"/>
    <col min="1945" max="1945" width="17.875" bestFit="1" customWidth="1"/>
    <col min="1946" max="1946" width="6.875" bestFit="1" customWidth="1"/>
    <col min="1947" max="1947" width="10.25" bestFit="1" customWidth="1"/>
    <col min="1948" max="1950" width="6.875" bestFit="1" customWidth="1"/>
    <col min="1951" max="1951" width="10.25" bestFit="1" customWidth="1"/>
    <col min="1952" max="1952" width="17.875" bestFit="1" customWidth="1"/>
    <col min="1953" max="1953" width="6.875" bestFit="1" customWidth="1"/>
    <col min="1954" max="1954" width="10.25" bestFit="1" customWidth="1"/>
    <col min="1955" max="1957" width="6.875" bestFit="1" customWidth="1"/>
    <col min="1958" max="1958" width="9.25" bestFit="1" customWidth="1"/>
    <col min="1959" max="1960" width="2.5" bestFit="1" customWidth="1"/>
    <col min="1961" max="1961" width="3.5" bestFit="1" customWidth="1"/>
    <col min="1962" max="1963" width="5.875" bestFit="1" customWidth="1"/>
    <col min="1964" max="1964" width="17.875" bestFit="1" customWidth="1"/>
    <col min="1965" max="1965" width="6.875" bestFit="1" customWidth="1"/>
    <col min="1966" max="1966" width="10.25" bestFit="1" customWidth="1"/>
    <col min="1967" max="1969" width="6.875" bestFit="1" customWidth="1"/>
    <col min="1970" max="1970" width="7.875" bestFit="1" customWidth="1"/>
    <col min="1971" max="1973" width="2.5" bestFit="1" customWidth="1"/>
    <col min="1974" max="1974" width="3.5" bestFit="1" customWidth="1"/>
    <col min="1975" max="1976" width="5.875" bestFit="1" customWidth="1"/>
    <col min="1977" max="1977" width="17.875" bestFit="1" customWidth="1"/>
    <col min="1978" max="1978" width="6.875" bestFit="1" customWidth="1"/>
    <col min="1979" max="1979" width="10.25" bestFit="1" customWidth="1"/>
    <col min="1980" max="1980" width="6.875" bestFit="1" customWidth="1"/>
    <col min="1981" max="1981" width="7.875" bestFit="1" customWidth="1"/>
    <col min="1982" max="1982" width="6.875" bestFit="1" customWidth="1"/>
    <col min="1983" max="1983" width="9.25" bestFit="1" customWidth="1"/>
    <col min="1984" max="1986" width="2.5" bestFit="1" customWidth="1"/>
    <col min="1987" max="1987" width="3.5" bestFit="1" customWidth="1"/>
    <col min="1988" max="1989" width="5.875" bestFit="1" customWidth="1"/>
    <col min="1990" max="1990" width="17.875" bestFit="1" customWidth="1"/>
    <col min="1991" max="1991" width="7.875" bestFit="1" customWidth="1"/>
    <col min="1992" max="1992" width="10.25" bestFit="1" customWidth="1"/>
    <col min="1993" max="1996" width="7.875" bestFit="1" customWidth="1"/>
    <col min="1997" max="1999" width="2.5" bestFit="1" customWidth="1"/>
    <col min="2000" max="2000" width="3.5" bestFit="1" customWidth="1"/>
    <col min="2001" max="2002" width="5.875" bestFit="1" customWidth="1"/>
    <col min="2003" max="2003" width="17.875" bestFit="1" customWidth="1"/>
    <col min="2004" max="2004" width="7.875" bestFit="1" customWidth="1"/>
    <col min="2005" max="2005" width="10.25" bestFit="1" customWidth="1"/>
    <col min="2006" max="2008" width="7.875" bestFit="1" customWidth="1"/>
    <col min="2009" max="2009" width="9.25" bestFit="1" customWidth="1"/>
    <col min="2010" max="2012" width="2.5" bestFit="1" customWidth="1"/>
    <col min="2013" max="2013" width="3.5" bestFit="1" customWidth="1"/>
    <col min="2014" max="2015" width="5.875" bestFit="1" customWidth="1"/>
    <col min="2016" max="2016" width="17.875" bestFit="1" customWidth="1"/>
    <col min="2017" max="2017" width="7.875" bestFit="1" customWidth="1"/>
    <col min="2018" max="2018" width="10.25" bestFit="1" customWidth="1"/>
    <col min="2019" max="2021" width="7.875" bestFit="1" customWidth="1"/>
    <col min="2022" max="2022" width="9.25" bestFit="1" customWidth="1"/>
    <col min="2023" max="2025" width="2.5" bestFit="1" customWidth="1"/>
    <col min="2026" max="2026" width="3.5" bestFit="1" customWidth="1"/>
    <col min="2027" max="2028" width="5.875" bestFit="1" customWidth="1"/>
    <col min="2029" max="2029" width="17.875" bestFit="1" customWidth="1"/>
    <col min="2030" max="2030" width="6.875" bestFit="1" customWidth="1"/>
    <col min="2031" max="2031" width="10.25" bestFit="1" customWidth="1"/>
    <col min="2032" max="2034" width="6.875" bestFit="1" customWidth="1"/>
    <col min="2035" max="2035" width="9.25" bestFit="1" customWidth="1"/>
    <col min="2036" max="2038" width="2.5" bestFit="1" customWidth="1"/>
    <col min="2039" max="2039" width="3.5" bestFit="1" customWidth="1"/>
    <col min="2040" max="2041" width="5.875" bestFit="1" customWidth="1"/>
    <col min="2042" max="2042" width="17.875" bestFit="1" customWidth="1"/>
    <col min="2043" max="2043" width="7.875" bestFit="1" customWidth="1"/>
    <col min="2044" max="2044" width="11.375" bestFit="1" customWidth="1"/>
    <col min="2045" max="2046" width="7.875" bestFit="1" customWidth="1"/>
    <col min="2047" max="2047" width="6.875" bestFit="1" customWidth="1"/>
    <col min="2048" max="2048" width="10.25" bestFit="1" customWidth="1"/>
    <col min="2049" max="2051" width="2.5" bestFit="1" customWidth="1"/>
    <col min="2052" max="2052" width="3.5" bestFit="1" customWidth="1"/>
    <col min="2053" max="2054" width="5.875" bestFit="1" customWidth="1"/>
    <col min="2055" max="2055" width="17.875" bestFit="1" customWidth="1"/>
    <col min="2056" max="2056" width="6.875" bestFit="1" customWidth="1"/>
    <col min="2057" max="2057" width="10.25" bestFit="1" customWidth="1"/>
    <col min="2058" max="2060" width="6.875" bestFit="1" customWidth="1"/>
    <col min="2061" max="2061" width="9.25" bestFit="1" customWidth="1"/>
    <col min="2062" max="2064" width="2.5" bestFit="1" customWidth="1"/>
    <col min="2065" max="2065" width="3.5" bestFit="1" customWidth="1"/>
    <col min="2066" max="2067" width="5.875" bestFit="1" customWidth="1"/>
    <col min="2068" max="2068" width="17.875" bestFit="1" customWidth="1"/>
    <col min="2069" max="2069" width="6.875" bestFit="1" customWidth="1"/>
    <col min="2070" max="2070" width="10.25" bestFit="1" customWidth="1"/>
    <col min="2071" max="2073" width="6.875" bestFit="1" customWidth="1"/>
    <col min="2074" max="2074" width="9.25" bestFit="1" customWidth="1"/>
    <col min="2075" max="2077" width="2.5" bestFit="1" customWidth="1"/>
    <col min="2078" max="2078" width="3.5" bestFit="1" customWidth="1"/>
    <col min="2079" max="2080" width="5.875" bestFit="1" customWidth="1"/>
    <col min="2081" max="2081" width="17.875" bestFit="1" customWidth="1"/>
    <col min="2082" max="2082" width="6.875" bestFit="1" customWidth="1"/>
    <col min="2083" max="2083" width="10.25" bestFit="1" customWidth="1"/>
    <col min="2084" max="2086" width="6.875" bestFit="1" customWidth="1"/>
    <col min="2087" max="2087" width="9.25" bestFit="1" customWidth="1"/>
    <col min="2088" max="2089" width="2.5" bestFit="1" customWidth="1"/>
    <col min="2090" max="2090" width="3.5" bestFit="1" customWidth="1"/>
    <col min="2091" max="2092" width="5.875" bestFit="1" customWidth="1"/>
    <col min="2093" max="2093" width="17.875" bestFit="1" customWidth="1"/>
    <col min="2094" max="2094" width="6.875" bestFit="1" customWidth="1"/>
    <col min="2095" max="2095" width="10.25" bestFit="1" customWidth="1"/>
    <col min="2096" max="2098" width="6.875" bestFit="1" customWidth="1"/>
    <col min="2099" max="2099" width="7.875" bestFit="1" customWidth="1"/>
    <col min="2100" max="2102" width="2.5" bestFit="1" customWidth="1"/>
    <col min="2103" max="2103" width="3.5" bestFit="1" customWidth="1"/>
    <col min="2104" max="2105" width="5.875" bestFit="1" customWidth="1"/>
    <col min="2106" max="2106" width="17.875" bestFit="1" customWidth="1"/>
    <col min="2107" max="2107" width="6.875" bestFit="1" customWidth="1"/>
    <col min="2108" max="2108" width="10.25" bestFit="1" customWidth="1"/>
    <col min="2109" max="2109" width="6.875" bestFit="1" customWidth="1"/>
    <col min="2110" max="2110" width="7.875" bestFit="1" customWidth="1"/>
    <col min="2111" max="2111" width="6.875" bestFit="1" customWidth="1"/>
    <col min="2112" max="2112" width="9.25" bestFit="1" customWidth="1"/>
    <col min="2113" max="2115" width="2.5" bestFit="1" customWidth="1"/>
    <col min="2116" max="2116" width="3.5" bestFit="1" customWidth="1"/>
    <col min="2117" max="2118" width="5.875" bestFit="1" customWidth="1"/>
    <col min="2119" max="2119" width="17.875" bestFit="1" customWidth="1"/>
    <col min="2120" max="2120" width="7.875" bestFit="1" customWidth="1"/>
    <col min="2121" max="2121" width="10.25" bestFit="1" customWidth="1"/>
    <col min="2122" max="2125" width="7.875" bestFit="1" customWidth="1"/>
    <col min="2126" max="2128" width="2.5" bestFit="1" customWidth="1"/>
    <col min="2129" max="2129" width="3.5" bestFit="1" customWidth="1"/>
    <col min="2130" max="2131" width="5.875" bestFit="1" customWidth="1"/>
    <col min="2132" max="2132" width="17.875" bestFit="1" customWidth="1"/>
    <col min="2133" max="2133" width="7.875" bestFit="1" customWidth="1"/>
    <col min="2134" max="2134" width="10.25" bestFit="1" customWidth="1"/>
    <col min="2135" max="2137" width="7.875" bestFit="1" customWidth="1"/>
    <col min="2138" max="2138" width="9.25" bestFit="1" customWidth="1"/>
    <col min="2139" max="2141" width="2.5" bestFit="1" customWidth="1"/>
    <col min="2142" max="2142" width="3.5" bestFit="1" customWidth="1"/>
    <col min="2143" max="2144" width="5.875" bestFit="1" customWidth="1"/>
    <col min="2145" max="2145" width="17.875" bestFit="1" customWidth="1"/>
    <col min="2146" max="2146" width="7.875" bestFit="1" customWidth="1"/>
    <col min="2147" max="2147" width="10.25" bestFit="1" customWidth="1"/>
    <col min="2148" max="2150" width="7.875" bestFit="1" customWidth="1"/>
    <col min="2151" max="2151" width="9.25" bestFit="1" customWidth="1"/>
    <col min="2152" max="2154" width="2.5" bestFit="1" customWidth="1"/>
    <col min="2155" max="2155" width="3.5" bestFit="1" customWidth="1"/>
    <col min="2156" max="2157" width="5.875" bestFit="1" customWidth="1"/>
    <col min="2158" max="2158" width="17.875" bestFit="1" customWidth="1"/>
    <col min="2159" max="2159" width="6.875" bestFit="1" customWidth="1"/>
    <col min="2160" max="2160" width="10.25" bestFit="1" customWidth="1"/>
    <col min="2161" max="2163" width="6.875" bestFit="1" customWidth="1"/>
    <col min="2164" max="2164" width="9.25" bestFit="1" customWidth="1"/>
    <col min="2165" max="2167" width="2.5" bestFit="1" customWidth="1"/>
    <col min="2168" max="2168" width="3.5" bestFit="1" customWidth="1"/>
    <col min="2169" max="2170" width="5.875" bestFit="1" customWidth="1"/>
    <col min="2171" max="2171" width="17.875" bestFit="1" customWidth="1"/>
    <col min="2172" max="2172" width="7.875" bestFit="1" customWidth="1"/>
    <col min="2173" max="2173" width="11.375" bestFit="1" customWidth="1"/>
    <col min="2174" max="2175" width="7.875" bestFit="1" customWidth="1"/>
    <col min="2176" max="2176" width="6.875" bestFit="1" customWidth="1"/>
    <col min="2177" max="2177" width="10.25" bestFit="1" customWidth="1"/>
    <col min="2178" max="2180" width="2.5" bestFit="1" customWidth="1"/>
    <col min="2181" max="2181" width="3.5" bestFit="1" customWidth="1"/>
    <col min="2182" max="2183" width="5.875" bestFit="1" customWidth="1"/>
    <col min="2184" max="2184" width="17.875" bestFit="1" customWidth="1"/>
    <col min="2185" max="2185" width="6.875" bestFit="1" customWidth="1"/>
    <col min="2186" max="2186" width="10.25" bestFit="1" customWidth="1"/>
    <col min="2187" max="2189" width="6.875" bestFit="1" customWidth="1"/>
    <col min="2190" max="2190" width="9.25" bestFit="1" customWidth="1"/>
    <col min="2191" max="2193" width="2.5" bestFit="1" customWidth="1"/>
    <col min="2194" max="2194" width="3.5" bestFit="1" customWidth="1"/>
    <col min="2195" max="2196" width="5.875" bestFit="1" customWidth="1"/>
    <col min="2197" max="2197" width="17.875" bestFit="1" customWidth="1"/>
    <col min="2198" max="2198" width="6.875" bestFit="1" customWidth="1"/>
    <col min="2199" max="2199" width="10.25" bestFit="1" customWidth="1"/>
    <col min="2200" max="2202" width="6.875" bestFit="1" customWidth="1"/>
    <col min="2203" max="2203" width="9.25" bestFit="1" customWidth="1"/>
    <col min="2204" max="2206" width="2.5" bestFit="1" customWidth="1"/>
    <col min="2207" max="2207" width="3.5" bestFit="1" customWidth="1"/>
    <col min="2208" max="2209" width="5.875" bestFit="1" customWidth="1"/>
    <col min="2210" max="2210" width="17.875" bestFit="1" customWidth="1"/>
    <col min="2211" max="2211" width="6.875" bestFit="1" customWidth="1"/>
    <col min="2212" max="2212" width="8.875" bestFit="1" customWidth="1"/>
    <col min="2213" max="2215" width="6.875" bestFit="1" customWidth="1"/>
    <col min="2216" max="2216" width="7.875" bestFit="1" customWidth="1"/>
    <col min="2217" max="2217" width="17.875" bestFit="1" customWidth="1"/>
    <col min="2218" max="2218" width="6.875" bestFit="1" customWidth="1"/>
    <col min="2219" max="2219" width="10.25" bestFit="1" customWidth="1"/>
    <col min="2220" max="2222" width="6.875" bestFit="1" customWidth="1"/>
    <col min="2223" max="2223" width="9.25" bestFit="1" customWidth="1"/>
    <col min="2224" max="2224" width="5.875" bestFit="1" customWidth="1"/>
    <col min="2225" max="2225" width="17.875" bestFit="1" customWidth="1"/>
    <col min="2226" max="2226" width="6.875" bestFit="1" customWidth="1"/>
    <col min="2227" max="2227" width="10.25" bestFit="1" customWidth="1"/>
    <col min="2228" max="2230" width="6.875" bestFit="1" customWidth="1"/>
    <col min="2231" max="2231" width="9.25" bestFit="1" customWidth="1"/>
    <col min="2232" max="2232" width="5.875" bestFit="1" customWidth="1"/>
    <col min="2233" max="2233" width="17.875" bestFit="1" customWidth="1"/>
    <col min="2234" max="2234" width="6.875" bestFit="1" customWidth="1"/>
    <col min="2235" max="2235" width="10.25" bestFit="1" customWidth="1"/>
    <col min="2236" max="2238" width="6.875" bestFit="1" customWidth="1"/>
    <col min="2239" max="2239" width="9.25" bestFit="1" customWidth="1"/>
    <col min="2240" max="2240" width="5.875" bestFit="1" customWidth="1"/>
    <col min="2241" max="2241" width="17.875" bestFit="1" customWidth="1"/>
    <col min="2242" max="2242" width="6.875" bestFit="1" customWidth="1"/>
    <col min="2243" max="2243" width="10.25" bestFit="1" customWidth="1"/>
    <col min="2244" max="2246" width="6.875" bestFit="1" customWidth="1"/>
    <col min="2247" max="2247" width="9.25" bestFit="1" customWidth="1"/>
    <col min="2248" max="2248" width="5.875" bestFit="1" customWidth="1"/>
    <col min="2249" max="2249" width="17.875" bestFit="1" customWidth="1"/>
    <col min="2250" max="2250" width="6.875" bestFit="1" customWidth="1"/>
    <col min="2251" max="2251" width="10.25" bestFit="1" customWidth="1"/>
    <col min="2252" max="2254" width="6.875" bestFit="1" customWidth="1"/>
    <col min="2255" max="2255" width="10.25" bestFit="1" customWidth="1"/>
    <col min="2256" max="2256" width="17.875" bestFit="1" customWidth="1"/>
    <col min="2257" max="2257" width="6.875" bestFit="1" customWidth="1"/>
    <col min="2258" max="2258" width="10.25" bestFit="1" customWidth="1"/>
    <col min="2259" max="2261" width="6.875" bestFit="1" customWidth="1"/>
    <col min="2262" max="2262" width="10.25" bestFit="1" customWidth="1"/>
    <col min="2263" max="2263" width="17.875" bestFit="1" customWidth="1"/>
    <col min="2264" max="2264" width="6.875" bestFit="1" customWidth="1"/>
    <col min="2265" max="2265" width="10.25" bestFit="1" customWidth="1"/>
    <col min="2266" max="2268" width="6.875" bestFit="1" customWidth="1"/>
    <col min="2269" max="2269" width="10.25" bestFit="1" customWidth="1"/>
    <col min="2270" max="2270" width="17.875" bestFit="1" customWidth="1"/>
    <col min="2271" max="2271" width="6.875" bestFit="1" customWidth="1"/>
    <col min="2272" max="2272" width="10.25" bestFit="1" customWidth="1"/>
    <col min="2273" max="2275" width="6.875" bestFit="1" customWidth="1"/>
    <col min="2276" max="2276" width="10.25" bestFit="1" customWidth="1"/>
    <col min="2277" max="2277" width="17.875" bestFit="1" customWidth="1"/>
    <col min="2278" max="2278" width="6.875" bestFit="1" customWidth="1"/>
    <col min="2279" max="2279" width="10.25" bestFit="1" customWidth="1"/>
    <col min="2280" max="2282" width="6.875" bestFit="1" customWidth="1"/>
    <col min="2283" max="2283" width="10.25" bestFit="1" customWidth="1"/>
    <col min="2284" max="2284" width="17.875" bestFit="1" customWidth="1"/>
    <col min="2285" max="2285" width="6.875" bestFit="1" customWidth="1"/>
    <col min="2286" max="2286" width="10.25" bestFit="1" customWidth="1"/>
    <col min="2287" max="2289" width="6.875" bestFit="1" customWidth="1"/>
    <col min="2290" max="2290" width="9.25" bestFit="1" customWidth="1"/>
    <col min="2291" max="2291" width="5.875" bestFit="1" customWidth="1"/>
    <col min="2292" max="2292" width="17.875" bestFit="1" customWidth="1"/>
    <col min="2293" max="2293" width="6.875" bestFit="1" customWidth="1"/>
    <col min="2294" max="2294" width="10.25" bestFit="1" customWidth="1"/>
    <col min="2295" max="2297" width="6.875" bestFit="1" customWidth="1"/>
    <col min="2298" max="2298" width="9.25" bestFit="1" customWidth="1"/>
    <col min="2299" max="2299" width="5.875" bestFit="1" customWidth="1"/>
    <col min="2300" max="2300" width="17.875" bestFit="1" customWidth="1"/>
    <col min="2301" max="2301" width="6.875" bestFit="1" customWidth="1"/>
    <col min="2302" max="2302" width="10.25" bestFit="1" customWidth="1"/>
    <col min="2303" max="2305" width="6.875" bestFit="1" customWidth="1"/>
    <col min="2306" max="2306" width="9.25" bestFit="1" customWidth="1"/>
    <col min="2307" max="2307" width="5.875" bestFit="1" customWidth="1"/>
    <col min="2308" max="2308" width="17.875" bestFit="1" customWidth="1"/>
    <col min="2309" max="2309" width="6.875" bestFit="1" customWidth="1"/>
    <col min="2310" max="2310" width="10.25" bestFit="1" customWidth="1"/>
    <col min="2311" max="2313" width="6.875" bestFit="1" customWidth="1"/>
    <col min="2314" max="2314" width="9.25" bestFit="1" customWidth="1"/>
    <col min="2315" max="2315" width="5.875" bestFit="1" customWidth="1"/>
    <col min="2316" max="2316" width="17.875" bestFit="1" customWidth="1"/>
    <col min="2317" max="2317" width="6.875" bestFit="1" customWidth="1"/>
    <col min="2318" max="2318" width="10.25" bestFit="1" customWidth="1"/>
    <col min="2319" max="2321" width="6.875" bestFit="1" customWidth="1"/>
    <col min="2322" max="2322" width="10.25" bestFit="1" customWidth="1"/>
    <col min="2323" max="2323" width="17.875" bestFit="1" customWidth="1"/>
    <col min="2324" max="2324" width="6.875" bestFit="1" customWidth="1"/>
    <col min="2325" max="2325" width="10.25" bestFit="1" customWidth="1"/>
    <col min="2326" max="2328" width="6.875" bestFit="1" customWidth="1"/>
    <col min="2329" max="2329" width="10.25" bestFit="1" customWidth="1"/>
    <col min="2330" max="2330" width="17.875" bestFit="1" customWidth="1"/>
    <col min="2331" max="2331" width="6.875" bestFit="1" customWidth="1"/>
    <col min="2332" max="2332" width="10.25" bestFit="1" customWidth="1"/>
    <col min="2333" max="2335" width="6.875" bestFit="1" customWidth="1"/>
    <col min="2336" max="2336" width="10.25" bestFit="1" customWidth="1"/>
    <col min="2337" max="2337" width="17.875" bestFit="1" customWidth="1"/>
    <col min="2338" max="2338" width="6.875" bestFit="1" customWidth="1"/>
    <col min="2339" max="2339" width="10.25" bestFit="1" customWidth="1"/>
    <col min="2340" max="2342" width="6.875" bestFit="1" customWidth="1"/>
    <col min="2343" max="2343" width="10.25" bestFit="1" customWidth="1"/>
    <col min="2344" max="2344" width="17.875" bestFit="1" customWidth="1"/>
    <col min="2345" max="2345" width="6.875" bestFit="1" customWidth="1"/>
    <col min="2346" max="2346" width="10.25" bestFit="1" customWidth="1"/>
    <col min="2347" max="2349" width="6.875" bestFit="1" customWidth="1"/>
    <col min="2350" max="2350" width="10.25" bestFit="1" customWidth="1"/>
    <col min="2351" max="2351" width="17.875" bestFit="1" customWidth="1"/>
    <col min="2352" max="2352" width="6.875" bestFit="1" customWidth="1"/>
    <col min="2353" max="2353" width="10.25" bestFit="1" customWidth="1"/>
    <col min="2354" max="2356" width="6.875" bestFit="1" customWidth="1"/>
    <col min="2357" max="2357" width="9.25" bestFit="1" customWidth="1"/>
    <col min="2358" max="2358" width="17.875" bestFit="1" customWidth="1"/>
    <col min="2359" max="2359" width="6.875" bestFit="1" customWidth="1"/>
    <col min="2360" max="2360" width="10.25" bestFit="1" customWidth="1"/>
    <col min="2361" max="2363" width="6.875" bestFit="1" customWidth="1"/>
    <col min="2364" max="2364" width="9.25" bestFit="1" customWidth="1"/>
    <col min="2365" max="2365" width="17.875" bestFit="1" customWidth="1"/>
    <col min="2366" max="2366" width="6.875" bestFit="1" customWidth="1"/>
    <col min="2367" max="2367" width="10.25" bestFit="1" customWidth="1"/>
    <col min="2368" max="2370" width="6.875" bestFit="1" customWidth="1"/>
    <col min="2371" max="2371" width="9.25" bestFit="1" customWidth="1"/>
    <col min="2372" max="2372" width="17.875" bestFit="1" customWidth="1"/>
    <col min="2373" max="2373" width="6.875" bestFit="1" customWidth="1"/>
    <col min="2374" max="2374" width="10.25" bestFit="1" customWidth="1"/>
    <col min="2375" max="2377" width="6.875" bestFit="1" customWidth="1"/>
    <col min="2378" max="2378" width="9.25" bestFit="1" customWidth="1"/>
    <col min="2379" max="2379" width="17.875" bestFit="1" customWidth="1"/>
    <col min="2380" max="2380" width="6.875" bestFit="1" customWidth="1"/>
    <col min="2381" max="2381" width="10.25" bestFit="1" customWidth="1"/>
    <col min="2382" max="2384" width="6.875" bestFit="1" customWidth="1"/>
    <col min="2385" max="2385" width="9.25" bestFit="1" customWidth="1"/>
    <col min="2386" max="2386" width="17.875" bestFit="1" customWidth="1"/>
    <col min="2387" max="2387" width="6.875" bestFit="1" customWidth="1"/>
    <col min="2388" max="2388" width="10.25" bestFit="1" customWidth="1"/>
    <col min="2389" max="2391" width="6.875" bestFit="1" customWidth="1"/>
    <col min="2392" max="2392" width="9.25" bestFit="1" customWidth="1"/>
    <col min="2393" max="2393" width="17.875" bestFit="1" customWidth="1"/>
    <col min="2394" max="2394" width="6.875" bestFit="1" customWidth="1"/>
    <col min="2395" max="2395" width="10.25" bestFit="1" customWidth="1"/>
    <col min="2396" max="2398" width="6.875" bestFit="1" customWidth="1"/>
    <col min="2399" max="2399" width="9.25" bestFit="1" customWidth="1"/>
    <col min="2400" max="2400" width="17.875" bestFit="1" customWidth="1"/>
    <col min="2401" max="2401" width="6.875" bestFit="1" customWidth="1"/>
    <col min="2402" max="2402" width="10.25" bestFit="1" customWidth="1"/>
    <col min="2403" max="2405" width="6.875" bestFit="1" customWidth="1"/>
    <col min="2406" max="2406" width="9.25" bestFit="1" customWidth="1"/>
    <col min="2407" max="2407" width="17.875" bestFit="1" customWidth="1"/>
    <col min="2408" max="2408" width="6.875" bestFit="1" customWidth="1"/>
    <col min="2409" max="2409" width="10.25" bestFit="1" customWidth="1"/>
    <col min="2410" max="2412" width="6.875" bestFit="1" customWidth="1"/>
    <col min="2413" max="2413" width="9.25" bestFit="1" customWidth="1"/>
    <col min="2414" max="2414" width="7.875" bestFit="1" customWidth="1"/>
    <col min="2415" max="2415" width="17.875" bestFit="1" customWidth="1"/>
    <col min="2416" max="2416" width="5.875" bestFit="1" customWidth="1"/>
    <col min="2417" max="2417" width="7.875" bestFit="1" customWidth="1"/>
    <col min="2418" max="2420" width="5.875" bestFit="1" customWidth="1"/>
    <col min="2421" max="2421" width="9.25" bestFit="1" customWidth="1"/>
    <col min="2422" max="2422" width="17.875" bestFit="1" customWidth="1"/>
    <col min="2423" max="2423" width="5.875" bestFit="1" customWidth="1"/>
    <col min="2424" max="2424" width="8.875" bestFit="1" customWidth="1"/>
    <col min="2425" max="2427" width="5.875" bestFit="1" customWidth="1"/>
    <col min="2428" max="2428" width="9.25" bestFit="1" customWidth="1"/>
    <col min="2429" max="2429" width="17.875" bestFit="1" customWidth="1"/>
    <col min="2430" max="2430" width="5.875" bestFit="1" customWidth="1"/>
    <col min="2431" max="2431" width="8.875" bestFit="1" customWidth="1"/>
    <col min="2432" max="2434" width="5.875" bestFit="1" customWidth="1"/>
    <col min="2435" max="2435" width="10.25" bestFit="1" customWidth="1"/>
    <col min="2436" max="2436" width="17.875" bestFit="1" customWidth="1"/>
    <col min="2437" max="2437" width="5.875" bestFit="1" customWidth="1"/>
    <col min="2438" max="2438" width="7.875" bestFit="1" customWidth="1"/>
    <col min="2439" max="2441" width="5.875" bestFit="1" customWidth="1"/>
    <col min="2442" max="2442" width="7.875" bestFit="1" customWidth="1"/>
    <col min="2443" max="2443" width="17.875" bestFit="1" customWidth="1"/>
    <col min="2444" max="2444" width="5.875" bestFit="1" customWidth="1"/>
    <col min="2445" max="2445" width="8.875" bestFit="1" customWidth="1"/>
    <col min="2446" max="2448" width="5.875" bestFit="1" customWidth="1"/>
    <col min="2449" max="2449" width="7.875" bestFit="1" customWidth="1"/>
    <col min="2450" max="2450" width="17.875" bestFit="1" customWidth="1"/>
    <col min="2451" max="2451" width="5.875" bestFit="1" customWidth="1"/>
    <col min="2452" max="2452" width="8.875" bestFit="1" customWidth="1"/>
    <col min="2453" max="2455" width="5.875" bestFit="1" customWidth="1"/>
    <col min="2456" max="2456" width="7.875" bestFit="1" customWidth="1"/>
    <col min="2457" max="2457" width="17.875" bestFit="1" customWidth="1"/>
    <col min="2458" max="2458" width="5.875" bestFit="1" customWidth="1"/>
    <col min="2459" max="2459" width="8.875" bestFit="1" customWidth="1"/>
    <col min="2460" max="2462" width="5.875" bestFit="1" customWidth="1"/>
    <col min="2463" max="2463" width="10.25" bestFit="1" customWidth="1"/>
    <col min="2464" max="2464" width="17.875" bestFit="1" customWidth="1"/>
    <col min="2465" max="2465" width="5.875" bestFit="1" customWidth="1"/>
    <col min="2466" max="2466" width="8.875" bestFit="1" customWidth="1"/>
    <col min="2467" max="2469" width="5.875" bestFit="1" customWidth="1"/>
    <col min="2470" max="2470" width="9.25" bestFit="1" customWidth="1"/>
    <col min="2471" max="2471" width="7.125" bestFit="1" customWidth="1"/>
    <col min="2472" max="2472" width="17.875" bestFit="1" customWidth="1"/>
    <col min="2473" max="2473" width="6.875" bestFit="1" customWidth="1"/>
    <col min="2474" max="2474" width="8.875" bestFit="1" customWidth="1"/>
    <col min="2475" max="2477" width="6.875" bestFit="1" customWidth="1"/>
    <col min="2478" max="2478" width="7.125" bestFit="1" customWidth="1"/>
    <col min="2479" max="2479" width="17.875" bestFit="1" customWidth="1"/>
    <col min="2480" max="2480" width="6.875" bestFit="1" customWidth="1"/>
    <col min="2481" max="2481" width="8.875" bestFit="1" customWidth="1"/>
    <col min="2482" max="2484" width="6.875" bestFit="1" customWidth="1"/>
    <col min="2485" max="2485" width="7.875" bestFit="1" customWidth="1"/>
    <col min="2486" max="2486" width="17.875" bestFit="1" customWidth="1"/>
    <col min="2487" max="2487" width="6.875" bestFit="1" customWidth="1"/>
    <col min="2488" max="2488" width="8.875" bestFit="1" customWidth="1"/>
    <col min="2489" max="2491" width="6.875" bestFit="1" customWidth="1"/>
    <col min="2492" max="2492" width="7.875" bestFit="1" customWidth="1"/>
    <col min="2493" max="2493" width="17.875" bestFit="1" customWidth="1"/>
    <col min="2494" max="2494" width="6.875" bestFit="1" customWidth="1"/>
    <col min="2495" max="2495" width="8.875" bestFit="1" customWidth="1"/>
    <col min="2496" max="2498" width="6.875" bestFit="1" customWidth="1"/>
    <col min="2499" max="2499" width="7.875" bestFit="1" customWidth="1"/>
    <col min="2500" max="2500" width="17.875" bestFit="1" customWidth="1"/>
    <col min="2501" max="2501" width="6.875" bestFit="1" customWidth="1"/>
    <col min="2502" max="2502" width="10.25" bestFit="1" customWidth="1"/>
    <col min="2503" max="2505" width="6.875" bestFit="1" customWidth="1"/>
    <col min="2506" max="2506" width="7.875" bestFit="1" customWidth="1"/>
    <col min="2507" max="2507" width="17.875" bestFit="1" customWidth="1"/>
    <col min="2508" max="2508" width="6.875" bestFit="1" customWidth="1"/>
    <col min="2509" max="2509" width="8.875" bestFit="1" customWidth="1"/>
    <col min="2510" max="2512" width="6.875" bestFit="1" customWidth="1"/>
    <col min="2513" max="2513" width="7.875" bestFit="1" customWidth="1"/>
    <col min="2514" max="2514" width="17.875" bestFit="1" customWidth="1"/>
    <col min="2515" max="2515" width="6.875" bestFit="1" customWidth="1"/>
    <col min="2516" max="2516" width="8.875" bestFit="1" customWidth="1"/>
    <col min="2517" max="2519" width="6.875" bestFit="1" customWidth="1"/>
    <col min="2520" max="2520" width="7.125" bestFit="1" customWidth="1"/>
    <col min="2521" max="2521" width="17.875" bestFit="1" customWidth="1"/>
    <col min="2522" max="2522" width="6.875" bestFit="1" customWidth="1"/>
    <col min="2523" max="2523" width="8.875" bestFit="1" customWidth="1"/>
    <col min="2524" max="2526" width="6.875" bestFit="1" customWidth="1"/>
    <col min="2527" max="2527" width="7.875" bestFit="1" customWidth="1"/>
    <col min="2528" max="2528" width="7.125" bestFit="1" customWidth="1"/>
    <col min="2529" max="2529" width="17.875" bestFit="1" customWidth="1"/>
    <col min="2530" max="2530" width="5.875" bestFit="1" customWidth="1"/>
    <col min="2531" max="2531" width="8.875" bestFit="1" customWidth="1"/>
    <col min="2532" max="2534" width="5.875" bestFit="1" customWidth="1"/>
    <col min="2535" max="2535" width="7.125" bestFit="1" customWidth="1"/>
    <col min="2536" max="2536" width="17.875" bestFit="1" customWidth="1"/>
    <col min="2537" max="2537" width="5.875" bestFit="1" customWidth="1"/>
    <col min="2538" max="2538" width="8.875" bestFit="1" customWidth="1"/>
    <col min="2539" max="2541" width="5.875" bestFit="1" customWidth="1"/>
    <col min="2542" max="2542" width="7.125" bestFit="1" customWidth="1"/>
    <col min="2543" max="2543" width="17.875" bestFit="1" customWidth="1"/>
    <col min="2544" max="2544" width="5.875" bestFit="1" customWidth="1"/>
    <col min="2545" max="2545" width="8.875" bestFit="1" customWidth="1"/>
    <col min="2546" max="2548" width="5.875" bestFit="1" customWidth="1"/>
    <col min="2549" max="2549" width="7.875" bestFit="1" customWidth="1"/>
    <col min="2550" max="2550" width="17.875" bestFit="1" customWidth="1"/>
    <col min="2551" max="2551" width="5.875" bestFit="1" customWidth="1"/>
    <col min="2552" max="2552" width="8.875" bestFit="1" customWidth="1"/>
    <col min="2553" max="2555" width="5.875" bestFit="1" customWidth="1"/>
    <col min="2556" max="2556" width="7.875" bestFit="1" customWidth="1"/>
    <col min="2557" max="2557" width="17.875" bestFit="1" customWidth="1"/>
    <col min="2558" max="2558" width="5.875" bestFit="1" customWidth="1"/>
    <col min="2559" max="2559" width="8.875" bestFit="1" customWidth="1"/>
    <col min="2560" max="2562" width="5.875" bestFit="1" customWidth="1"/>
    <col min="2563" max="2563" width="7.875" bestFit="1" customWidth="1"/>
    <col min="2564" max="2564" width="17.875" bestFit="1" customWidth="1"/>
    <col min="2565" max="2565" width="5.875" bestFit="1" customWidth="1"/>
    <col min="2566" max="2566" width="8.875" bestFit="1" customWidth="1"/>
    <col min="2567" max="2569" width="5.875" bestFit="1" customWidth="1"/>
    <col min="2570" max="2570" width="7.125" bestFit="1" customWidth="1"/>
    <col min="2571" max="2571" width="17.875" bestFit="1" customWidth="1"/>
    <col min="2572" max="2572" width="5.875" bestFit="1" customWidth="1"/>
    <col min="2573" max="2573" width="7.875" bestFit="1" customWidth="1"/>
    <col min="2574" max="2576" width="5.875" bestFit="1" customWidth="1"/>
    <col min="2577" max="2577" width="7.125" bestFit="1" customWidth="1"/>
    <col min="2578" max="2578" width="17.875" bestFit="1" customWidth="1"/>
    <col min="2579" max="2579" width="5.875" bestFit="1" customWidth="1"/>
    <col min="2580" max="2580" width="8.875" bestFit="1" customWidth="1"/>
    <col min="2581" max="2583" width="5.875" bestFit="1" customWidth="1"/>
    <col min="2584" max="2584" width="7.125" bestFit="1" customWidth="1"/>
    <col min="2585" max="2585" width="7.875" bestFit="1" customWidth="1"/>
    <col min="2586" max="2586" width="17.875" bestFit="1" customWidth="1"/>
    <col min="2587" max="2587" width="6.875" bestFit="1" customWidth="1"/>
    <col min="2588" max="2588" width="10.25" bestFit="1" customWidth="1"/>
    <col min="2589" max="2591" width="6.875" bestFit="1" customWidth="1"/>
    <col min="2592" max="2592" width="7.875" bestFit="1" customWidth="1"/>
    <col min="2593" max="2593" width="17.875" bestFit="1" customWidth="1"/>
    <col min="2594" max="2594" width="6.875" bestFit="1" customWidth="1"/>
    <col min="2595" max="2595" width="10.25" bestFit="1" customWidth="1"/>
    <col min="2596" max="2598" width="6.875" bestFit="1" customWidth="1"/>
    <col min="2599" max="2599" width="7.875" bestFit="1" customWidth="1"/>
    <col min="2600" max="2600" width="17.875" bestFit="1" customWidth="1"/>
    <col min="2601" max="2601" width="6.875" bestFit="1" customWidth="1"/>
    <col min="2602" max="2602" width="10.25" bestFit="1" customWidth="1"/>
    <col min="2603" max="2605" width="6.875" bestFit="1" customWidth="1"/>
    <col min="2606" max="2606" width="9.25" bestFit="1" customWidth="1"/>
    <col min="2607" max="2607" width="17.875" bestFit="1" customWidth="1"/>
    <col min="2608" max="2608" width="6.875" bestFit="1" customWidth="1"/>
    <col min="2609" max="2609" width="10.25" bestFit="1" customWidth="1"/>
    <col min="2610" max="2612" width="6.875" bestFit="1" customWidth="1"/>
    <col min="2613" max="2613" width="9.25" bestFit="1" customWidth="1"/>
    <col min="2614" max="2614" width="17.875" bestFit="1" customWidth="1"/>
    <col min="2615" max="2615" width="6.875" bestFit="1" customWidth="1"/>
    <col min="2616" max="2616" width="10.25" bestFit="1" customWidth="1"/>
    <col min="2617" max="2619" width="6.875" bestFit="1" customWidth="1"/>
    <col min="2620" max="2620" width="7.875" bestFit="1" customWidth="1"/>
    <col min="2621" max="2621" width="17.875" bestFit="1" customWidth="1"/>
    <col min="2622" max="2622" width="6.875" bestFit="1" customWidth="1"/>
    <col min="2623" max="2623" width="10.25" bestFit="1" customWidth="1"/>
    <col min="2624" max="2626" width="6.875" bestFit="1" customWidth="1"/>
    <col min="2627" max="2627" width="9.25" bestFit="1" customWidth="1"/>
    <col min="2628" max="2628" width="17.875" bestFit="1" customWidth="1"/>
    <col min="2629" max="2629" width="6.875" bestFit="1" customWidth="1"/>
    <col min="2630" max="2630" width="10.25" bestFit="1" customWidth="1"/>
    <col min="2631" max="2633" width="6.875" bestFit="1" customWidth="1"/>
    <col min="2634" max="2634" width="9.25" bestFit="1" customWidth="1"/>
    <col min="2635" max="2635" width="17.875" bestFit="1" customWidth="1"/>
    <col min="2636" max="2636" width="6.875" bestFit="1" customWidth="1"/>
    <col min="2637" max="2637" width="10.25" bestFit="1" customWidth="1"/>
    <col min="2638" max="2640" width="6.875" bestFit="1" customWidth="1"/>
    <col min="2641" max="2641" width="9.25" bestFit="1" customWidth="1"/>
    <col min="2642" max="2642" width="7.875" bestFit="1" customWidth="1"/>
    <col min="2643" max="2643" width="17.875" bestFit="1" customWidth="1"/>
    <col min="2644" max="2644" width="6.875" bestFit="1" customWidth="1"/>
    <col min="2645" max="2645" width="10.25" bestFit="1" customWidth="1"/>
    <col min="2646" max="2648" width="6.875" bestFit="1" customWidth="1"/>
    <col min="2649" max="2649" width="7.875" bestFit="1" customWidth="1"/>
    <col min="2650" max="2650" width="17.875" bestFit="1" customWidth="1"/>
    <col min="2651" max="2651" width="6.875" bestFit="1" customWidth="1"/>
    <col min="2652" max="2652" width="10.25" bestFit="1" customWidth="1"/>
    <col min="2653" max="2655" width="6.875" bestFit="1" customWidth="1"/>
    <col min="2656" max="2656" width="7.875" bestFit="1" customWidth="1"/>
    <col min="2657" max="2657" width="17.875" bestFit="1" customWidth="1"/>
    <col min="2658" max="2658" width="6.875" bestFit="1" customWidth="1"/>
    <col min="2659" max="2659" width="10.25" bestFit="1" customWidth="1"/>
    <col min="2660" max="2662" width="6.875" bestFit="1" customWidth="1"/>
    <col min="2663" max="2663" width="7.875" bestFit="1" customWidth="1"/>
    <col min="2664" max="2664" width="17.875" bestFit="1" customWidth="1"/>
    <col min="2665" max="2665" width="6.875" bestFit="1" customWidth="1"/>
    <col min="2666" max="2666" width="10.25" bestFit="1" customWidth="1"/>
    <col min="2667" max="2669" width="6.875" bestFit="1" customWidth="1"/>
    <col min="2670" max="2670" width="9.25" bestFit="1" customWidth="1"/>
    <col min="2671" max="2671" width="17.875" bestFit="1" customWidth="1"/>
    <col min="2672" max="2672" width="6.875" bestFit="1" customWidth="1"/>
    <col min="2673" max="2673" width="10.25" bestFit="1" customWidth="1"/>
    <col min="2674" max="2676" width="6.875" bestFit="1" customWidth="1"/>
    <col min="2677" max="2677" width="9.25" bestFit="1" customWidth="1"/>
    <col min="2678" max="2678" width="17.875" bestFit="1" customWidth="1"/>
    <col min="2679" max="2679" width="6.875" bestFit="1" customWidth="1"/>
    <col min="2680" max="2680" width="10.25" bestFit="1" customWidth="1"/>
    <col min="2681" max="2683" width="6.875" bestFit="1" customWidth="1"/>
    <col min="2684" max="2684" width="7.875" bestFit="1" customWidth="1"/>
    <col min="2685" max="2685" width="17.875" bestFit="1" customWidth="1"/>
    <col min="2686" max="2686" width="6.875" bestFit="1" customWidth="1"/>
    <col min="2687" max="2687" width="10.25" bestFit="1" customWidth="1"/>
    <col min="2688" max="2690" width="6.875" bestFit="1" customWidth="1"/>
    <col min="2691" max="2691" width="9.25" bestFit="1" customWidth="1"/>
    <col min="2692" max="2692" width="17.875" bestFit="1" customWidth="1"/>
    <col min="2693" max="2693" width="6.875" bestFit="1" customWidth="1"/>
    <col min="2694" max="2694" width="8.875" bestFit="1" customWidth="1"/>
    <col min="2695" max="2697" width="6.875" bestFit="1" customWidth="1"/>
    <col min="2698" max="2698" width="7.875" bestFit="1" customWidth="1"/>
    <col min="2699" max="2699" width="9.25" bestFit="1" customWidth="1"/>
    <col min="2700" max="2700" width="17.875" bestFit="1" customWidth="1"/>
    <col min="2701" max="2701" width="6.875" bestFit="1" customWidth="1"/>
    <col min="2702" max="2702" width="10.25" bestFit="1" customWidth="1"/>
    <col min="2703" max="2705" width="6.875" bestFit="1" customWidth="1"/>
    <col min="2706" max="2706" width="7.875" bestFit="1" customWidth="1"/>
    <col min="2707" max="2707" width="17.875" bestFit="1" customWidth="1"/>
    <col min="2708" max="2708" width="6.875" bestFit="1" customWidth="1"/>
    <col min="2709" max="2709" width="10.25" bestFit="1" customWidth="1"/>
    <col min="2710" max="2712" width="6.875" bestFit="1" customWidth="1"/>
    <col min="2713" max="2713" width="7.875" bestFit="1" customWidth="1"/>
    <col min="2714" max="2714" width="17.875" bestFit="1" customWidth="1"/>
    <col min="2715" max="2715" width="6.875" bestFit="1" customWidth="1"/>
    <col min="2716" max="2716" width="10.25" bestFit="1" customWidth="1"/>
    <col min="2717" max="2719" width="6.875" bestFit="1" customWidth="1"/>
    <col min="2720" max="2720" width="7.875" bestFit="1" customWidth="1"/>
    <col min="2721" max="2721" width="17.875" bestFit="1" customWidth="1"/>
    <col min="2722" max="2722" width="6.875" bestFit="1" customWidth="1"/>
    <col min="2723" max="2723" width="10.25" bestFit="1" customWidth="1"/>
    <col min="2724" max="2726" width="6.875" bestFit="1" customWidth="1"/>
    <col min="2727" max="2727" width="7.875" bestFit="1" customWidth="1"/>
    <col min="2728" max="2728" width="17.875" bestFit="1" customWidth="1"/>
    <col min="2729" max="2729" width="6.875" bestFit="1" customWidth="1"/>
    <col min="2730" max="2730" width="10.25" bestFit="1" customWidth="1"/>
    <col min="2731" max="2733" width="6.875" bestFit="1" customWidth="1"/>
    <col min="2734" max="2734" width="7.875" bestFit="1" customWidth="1"/>
    <col min="2735" max="2735" width="17.875" bestFit="1" customWidth="1"/>
    <col min="2736" max="2736" width="6.875" bestFit="1" customWidth="1"/>
    <col min="2737" max="2737" width="10.25" bestFit="1" customWidth="1"/>
    <col min="2738" max="2740" width="6.875" bestFit="1" customWidth="1"/>
    <col min="2741" max="2741" width="9.25" bestFit="1" customWidth="1"/>
    <col min="2742" max="2742" width="17.875" bestFit="1" customWidth="1"/>
    <col min="2743" max="2743" width="6.875" bestFit="1" customWidth="1"/>
    <col min="2744" max="2744" width="10.25" bestFit="1" customWidth="1"/>
    <col min="2745" max="2747" width="6.875" bestFit="1" customWidth="1"/>
    <col min="2748" max="2748" width="9.25" bestFit="1" customWidth="1"/>
    <col min="2749" max="2749" width="17.875" bestFit="1" customWidth="1"/>
    <col min="2750" max="2750" width="6.875" bestFit="1" customWidth="1"/>
    <col min="2751" max="2751" width="10.25" bestFit="1" customWidth="1"/>
    <col min="2752" max="2754" width="6.875" bestFit="1" customWidth="1"/>
    <col min="2755" max="2755" width="7.875" bestFit="1" customWidth="1"/>
    <col min="2756" max="2756" width="9.25" bestFit="1" customWidth="1"/>
    <col min="2757" max="2757" width="17.875" bestFit="1" customWidth="1"/>
    <col min="2758" max="2758" width="6.875" bestFit="1" customWidth="1"/>
    <col min="2759" max="2759" width="10.25" bestFit="1" customWidth="1"/>
    <col min="2760" max="2762" width="6.875" bestFit="1" customWidth="1"/>
    <col min="2763" max="2763" width="7.875" bestFit="1" customWidth="1"/>
    <col min="2764" max="2764" width="17.875" bestFit="1" customWidth="1"/>
    <col min="2765" max="2765" width="6.875" bestFit="1" customWidth="1"/>
    <col min="2766" max="2766" width="10.25" bestFit="1" customWidth="1"/>
    <col min="2767" max="2769" width="6.875" bestFit="1" customWidth="1"/>
    <col min="2770" max="2770" width="9.25" bestFit="1" customWidth="1"/>
    <col min="2771" max="2771" width="17.875" bestFit="1" customWidth="1"/>
    <col min="2772" max="2772" width="6.875" bestFit="1" customWidth="1"/>
    <col min="2773" max="2773" width="10.25" bestFit="1" customWidth="1"/>
    <col min="2774" max="2776" width="6.875" bestFit="1" customWidth="1"/>
    <col min="2777" max="2777" width="9.25" bestFit="1" customWidth="1"/>
    <col min="2778" max="2778" width="17.875" bestFit="1" customWidth="1"/>
    <col min="2779" max="2779" width="6.875" bestFit="1" customWidth="1"/>
    <col min="2780" max="2780" width="10.25" bestFit="1" customWidth="1"/>
    <col min="2781" max="2783" width="6.875" bestFit="1" customWidth="1"/>
    <col min="2784" max="2784" width="10.25" bestFit="1" customWidth="1"/>
    <col min="2785" max="2785" width="17.875" bestFit="1" customWidth="1"/>
    <col min="2786" max="2786" width="6.875" bestFit="1" customWidth="1"/>
    <col min="2787" max="2787" width="8.875" bestFit="1" customWidth="1"/>
    <col min="2788" max="2790" width="6.875" bestFit="1" customWidth="1"/>
    <col min="2791" max="2791" width="9.25" bestFit="1" customWidth="1"/>
    <col min="2792" max="2792" width="17.875" bestFit="1" customWidth="1"/>
    <col min="2793" max="2793" width="6.875" bestFit="1" customWidth="1"/>
    <col min="2794" max="2794" width="8.875" bestFit="1" customWidth="1"/>
    <col min="2795" max="2797" width="6.875" bestFit="1" customWidth="1"/>
    <col min="2798" max="2798" width="9.25" bestFit="1" customWidth="1"/>
    <col min="2799" max="2799" width="17.875" bestFit="1" customWidth="1"/>
    <col min="2800" max="2800" width="6.875" bestFit="1" customWidth="1"/>
    <col min="2801" max="2801" width="8.875" bestFit="1" customWidth="1"/>
    <col min="2802" max="2804" width="6.875" bestFit="1" customWidth="1"/>
    <col min="2805" max="2805" width="9.25" bestFit="1" customWidth="1"/>
    <col min="2806" max="2806" width="17.875" bestFit="1" customWidth="1"/>
    <col min="2807" max="2807" width="6.875" bestFit="1" customWidth="1"/>
    <col min="2808" max="2808" width="10.25" bestFit="1" customWidth="1"/>
    <col min="2809" max="2811" width="6.875" bestFit="1" customWidth="1"/>
    <col min="2812" max="2813" width="9.25" bestFit="1" customWidth="1"/>
    <col min="2814" max="2814" width="17.875" bestFit="1" customWidth="1"/>
    <col min="2815" max="2815" width="6.875" bestFit="1" customWidth="1"/>
    <col min="2816" max="2816" width="10.25" bestFit="1" customWidth="1"/>
    <col min="2817" max="2819" width="6.875" bestFit="1" customWidth="1"/>
    <col min="2820" max="2820" width="7.875" bestFit="1" customWidth="1"/>
    <col min="2821" max="2821" width="17.875" bestFit="1" customWidth="1"/>
    <col min="2822" max="2822" width="6.875" bestFit="1" customWidth="1"/>
    <col min="2823" max="2823" width="10.25" bestFit="1" customWidth="1"/>
    <col min="2824" max="2826" width="6.875" bestFit="1" customWidth="1"/>
    <col min="2827" max="2827" width="9.25" bestFit="1" customWidth="1"/>
    <col min="2828" max="2828" width="17.875" bestFit="1" customWidth="1"/>
    <col min="2829" max="2829" width="6.875" bestFit="1" customWidth="1"/>
    <col min="2830" max="2830" width="10.25" bestFit="1" customWidth="1"/>
    <col min="2831" max="2833" width="6.875" bestFit="1" customWidth="1"/>
    <col min="2834" max="2834" width="9.25" bestFit="1" customWidth="1"/>
    <col min="2835" max="2835" width="17.875" bestFit="1" customWidth="1"/>
    <col min="2836" max="2836" width="6.875" bestFit="1" customWidth="1"/>
    <col min="2837" max="2837" width="10.25" bestFit="1" customWidth="1"/>
    <col min="2838" max="2840" width="6.875" bestFit="1" customWidth="1"/>
    <col min="2841" max="2841" width="10.25" bestFit="1" customWidth="1"/>
    <col min="2842" max="2842" width="17.875" bestFit="1" customWidth="1"/>
    <col min="2843" max="2843" width="6.875" bestFit="1" customWidth="1"/>
    <col min="2844" max="2844" width="8.875" bestFit="1" customWidth="1"/>
    <col min="2845" max="2847" width="6.875" bestFit="1" customWidth="1"/>
    <col min="2848" max="2848" width="9.25" bestFit="1" customWidth="1"/>
    <col min="2849" max="2849" width="17.875" bestFit="1" customWidth="1"/>
    <col min="2850" max="2850" width="6.875" bestFit="1" customWidth="1"/>
    <col min="2851" max="2851" width="8.875" bestFit="1" customWidth="1"/>
    <col min="2852" max="2854" width="6.875" bestFit="1" customWidth="1"/>
    <col min="2855" max="2855" width="9.25" bestFit="1" customWidth="1"/>
    <col min="2856" max="2856" width="17.875" bestFit="1" customWidth="1"/>
    <col min="2857" max="2857" width="6.875" bestFit="1" customWidth="1"/>
    <col min="2858" max="2858" width="8.875" bestFit="1" customWidth="1"/>
    <col min="2859" max="2861" width="6.875" bestFit="1" customWidth="1"/>
    <col min="2862" max="2862" width="9.25" bestFit="1" customWidth="1"/>
    <col min="2863" max="2863" width="17.875" bestFit="1" customWidth="1"/>
    <col min="2864" max="2864" width="6.875" bestFit="1" customWidth="1"/>
    <col min="2865" max="2865" width="10.25" bestFit="1" customWidth="1"/>
    <col min="2866" max="2868" width="6.875" bestFit="1" customWidth="1"/>
    <col min="2869" max="2870" width="9.25" bestFit="1" customWidth="1"/>
    <col min="2871" max="2871" width="17.875" bestFit="1" customWidth="1"/>
    <col min="2872" max="2872" width="6.875" bestFit="1" customWidth="1"/>
    <col min="2873" max="2873" width="10.25" bestFit="1" customWidth="1"/>
    <col min="2874" max="2876" width="6.875" bestFit="1" customWidth="1"/>
    <col min="2877" max="2877" width="7.875" bestFit="1" customWidth="1"/>
    <col min="2878" max="2878" width="17.875" bestFit="1" customWidth="1"/>
    <col min="2879" max="2879" width="6.875" bestFit="1" customWidth="1"/>
    <col min="2880" max="2880" width="10.25" bestFit="1" customWidth="1"/>
    <col min="2881" max="2883" width="6.875" bestFit="1" customWidth="1"/>
    <col min="2884" max="2884" width="9.25" bestFit="1" customWidth="1"/>
    <col min="2885" max="2885" width="17.875" bestFit="1" customWidth="1"/>
    <col min="2886" max="2886" width="6.875" bestFit="1" customWidth="1"/>
    <col min="2887" max="2887" width="10.25" bestFit="1" customWidth="1"/>
    <col min="2888" max="2890" width="6.875" bestFit="1" customWidth="1"/>
    <col min="2891" max="2891" width="9.25" bestFit="1" customWidth="1"/>
    <col min="2892" max="2892" width="17.875" bestFit="1" customWidth="1"/>
    <col min="2893" max="2893" width="6.875" bestFit="1" customWidth="1"/>
    <col min="2894" max="2894" width="10.25" bestFit="1" customWidth="1"/>
    <col min="2895" max="2897" width="6.875" bestFit="1" customWidth="1"/>
    <col min="2898" max="2898" width="10.25" bestFit="1" customWidth="1"/>
    <col min="2899" max="2899" width="17.875" bestFit="1" customWidth="1"/>
    <col min="2900" max="2900" width="6.875" bestFit="1" customWidth="1"/>
    <col min="2901" max="2901" width="8.875" bestFit="1" customWidth="1"/>
    <col min="2902" max="2904" width="6.875" bestFit="1" customWidth="1"/>
    <col min="2905" max="2905" width="9.25" bestFit="1" customWidth="1"/>
    <col min="2906" max="2906" width="17.875" bestFit="1" customWidth="1"/>
    <col min="2907" max="2907" width="6.875" bestFit="1" customWidth="1"/>
    <col min="2908" max="2908" width="8.875" bestFit="1" customWidth="1"/>
    <col min="2909" max="2911" width="6.875" bestFit="1" customWidth="1"/>
    <col min="2912" max="2912" width="9.25" bestFit="1" customWidth="1"/>
    <col min="2913" max="2913" width="17.875" bestFit="1" customWidth="1"/>
    <col min="2914" max="2914" width="6.875" bestFit="1" customWidth="1"/>
    <col min="2915" max="2915" width="8.875" bestFit="1" customWidth="1"/>
    <col min="2916" max="2918" width="6.875" bestFit="1" customWidth="1"/>
    <col min="2919" max="2919" width="9.25" bestFit="1" customWidth="1"/>
    <col min="2920" max="2920" width="17.875" bestFit="1" customWidth="1"/>
    <col min="2921" max="2921" width="6.875" bestFit="1" customWidth="1"/>
    <col min="2922" max="2922" width="10.25" bestFit="1" customWidth="1"/>
    <col min="2923" max="2925" width="6.875" bestFit="1" customWidth="1"/>
    <col min="2926" max="2926" width="9.25" bestFit="1" customWidth="1"/>
    <col min="2927" max="2927" width="6.875" bestFit="1" customWidth="1"/>
    <col min="2928" max="2928" width="10.25" bestFit="1" customWidth="1"/>
    <col min="2929" max="2931" width="6.875" bestFit="1" customWidth="1"/>
    <col min="2932" max="2932" width="9.25" bestFit="1" customWidth="1"/>
    <col min="2933" max="2933" width="17.875" bestFit="1" customWidth="1"/>
    <col min="2934" max="2934" width="6.875" bestFit="1" customWidth="1"/>
    <col min="2935" max="2935" width="10.25" bestFit="1" customWidth="1"/>
    <col min="2936" max="2938" width="6.875" bestFit="1" customWidth="1"/>
    <col min="2939" max="2939" width="9.25" bestFit="1" customWidth="1"/>
    <col min="2940" max="2940" width="17.875" bestFit="1" customWidth="1"/>
    <col min="2941" max="2941" width="6.875" bestFit="1" customWidth="1"/>
    <col min="2942" max="2942" width="10.25" bestFit="1" customWidth="1"/>
    <col min="2943" max="2945" width="6.875" bestFit="1" customWidth="1"/>
    <col min="2946" max="2946" width="7.875" bestFit="1" customWidth="1"/>
    <col min="2947" max="2947" width="17.875" bestFit="1" customWidth="1"/>
    <col min="2948" max="2948" width="6.875" bestFit="1" customWidth="1"/>
    <col min="2949" max="2949" width="10.25" bestFit="1" customWidth="1"/>
    <col min="2950" max="2952" width="6.875" bestFit="1" customWidth="1"/>
    <col min="2953" max="2953" width="7.875" bestFit="1" customWidth="1"/>
    <col min="2954" max="2954" width="17.875" bestFit="1" customWidth="1"/>
    <col min="2955" max="2955" width="6.875" bestFit="1" customWidth="1"/>
    <col min="2956" max="2956" width="10.25" bestFit="1" customWidth="1"/>
    <col min="2957" max="2959" width="6.875" bestFit="1" customWidth="1"/>
    <col min="2960" max="2960" width="7.875" bestFit="1" customWidth="1"/>
    <col min="2961" max="2961" width="17.875" bestFit="1" customWidth="1"/>
    <col min="2962" max="2962" width="6.875" bestFit="1" customWidth="1"/>
    <col min="2963" max="2963" width="8.875" bestFit="1" customWidth="1"/>
    <col min="2964" max="2966" width="6.875" bestFit="1" customWidth="1"/>
    <col min="2967" max="2967" width="7.875" bestFit="1" customWidth="1"/>
    <col min="2968" max="2968" width="17.875" bestFit="1" customWidth="1"/>
    <col min="2969" max="2969" width="6.875" bestFit="1" customWidth="1"/>
    <col min="2970" max="2970" width="8.875" bestFit="1" customWidth="1"/>
    <col min="2971" max="2973" width="6.875" bestFit="1" customWidth="1"/>
    <col min="2974" max="2974" width="7.875" bestFit="1" customWidth="1"/>
    <col min="2975" max="2975" width="17.875" bestFit="1" customWidth="1"/>
    <col min="2976" max="2976" width="6.875" bestFit="1" customWidth="1"/>
    <col min="2977" max="2977" width="10.25" bestFit="1" customWidth="1"/>
    <col min="2978" max="2980" width="6.875" bestFit="1" customWidth="1"/>
    <col min="2981" max="2981" width="7.875" bestFit="1" customWidth="1"/>
    <col min="2982" max="2982" width="7.125" bestFit="1" customWidth="1"/>
    <col min="2983" max="2983" width="17.875" bestFit="1" customWidth="1"/>
    <col min="2984" max="2984" width="7.875" bestFit="1" customWidth="1"/>
    <col min="2985" max="2985" width="10.25" bestFit="1" customWidth="1"/>
    <col min="2986" max="2988" width="7.875" bestFit="1" customWidth="1"/>
    <col min="2989" max="2989" width="7.125" bestFit="1" customWidth="1"/>
    <col min="2990" max="2990" width="17.875" bestFit="1" customWidth="1"/>
    <col min="2991" max="2991" width="7.875" bestFit="1" customWidth="1"/>
    <col min="2992" max="2992" width="10.25" bestFit="1" customWidth="1"/>
    <col min="2993" max="2996" width="7.875" bestFit="1" customWidth="1"/>
    <col min="2997" max="2997" width="17.875" bestFit="1" customWidth="1"/>
    <col min="2998" max="2998" width="7.875" bestFit="1" customWidth="1"/>
    <col min="2999" max="2999" width="10.25" bestFit="1" customWidth="1"/>
    <col min="3000" max="3003" width="7.875" bestFit="1" customWidth="1"/>
    <col min="3004" max="3004" width="17.875" bestFit="1" customWidth="1"/>
    <col min="3005" max="3005" width="7.875" bestFit="1" customWidth="1"/>
    <col min="3006" max="3006" width="10.25" bestFit="1" customWidth="1"/>
    <col min="3007" max="3010" width="7.875" bestFit="1" customWidth="1"/>
    <col min="3011" max="3011" width="17.875" bestFit="1" customWidth="1"/>
    <col min="3012" max="3012" width="7.875" bestFit="1" customWidth="1"/>
    <col min="3013" max="3013" width="11.375" bestFit="1" customWidth="1"/>
    <col min="3014" max="3017" width="7.875" bestFit="1" customWidth="1"/>
    <col min="3018" max="3018" width="17.875" bestFit="1" customWidth="1"/>
    <col min="3019" max="3019" width="7.875" bestFit="1" customWidth="1"/>
    <col min="3020" max="3020" width="10.25" bestFit="1" customWidth="1"/>
    <col min="3021" max="3024" width="7.875" bestFit="1" customWidth="1"/>
    <col min="3025" max="3025" width="17.875" bestFit="1" customWidth="1"/>
    <col min="3026" max="3026" width="7.875" bestFit="1" customWidth="1"/>
    <col min="3027" max="3027" width="10.25" bestFit="1" customWidth="1"/>
    <col min="3028" max="3031" width="7.875" bestFit="1" customWidth="1"/>
    <col min="3032" max="3032" width="17.875" bestFit="1" customWidth="1"/>
    <col min="3033" max="3033" width="7.875" bestFit="1" customWidth="1"/>
    <col min="3034" max="3034" width="10.25" bestFit="1" customWidth="1"/>
    <col min="3035" max="3038" width="7.875" bestFit="1" customWidth="1"/>
    <col min="3039" max="3039" width="9.25" bestFit="1" customWidth="1"/>
    <col min="3040" max="3040" width="17.875" bestFit="1" customWidth="1"/>
    <col min="3041" max="3041" width="6.875" bestFit="1" customWidth="1"/>
    <col min="3042" max="3042" width="10.25" bestFit="1" customWidth="1"/>
    <col min="3043" max="3045" width="6.875" bestFit="1" customWidth="1"/>
    <col min="3046" max="3046" width="9.25" bestFit="1" customWidth="1"/>
    <col min="3047" max="3047" width="17.875" bestFit="1" customWidth="1"/>
    <col min="3048" max="3048" width="6.875" bestFit="1" customWidth="1"/>
    <col min="3049" max="3049" width="10.25" bestFit="1" customWidth="1"/>
    <col min="3050" max="3052" width="6.875" bestFit="1" customWidth="1"/>
    <col min="3053" max="3053" width="9.25" bestFit="1" customWidth="1"/>
    <col min="3054" max="3054" width="17.875" bestFit="1" customWidth="1"/>
    <col min="3055" max="3055" width="6.875" bestFit="1" customWidth="1"/>
    <col min="3056" max="3056" width="10.25" bestFit="1" customWidth="1"/>
    <col min="3057" max="3059" width="6.875" bestFit="1" customWidth="1"/>
    <col min="3060" max="3060" width="9.25" bestFit="1" customWidth="1"/>
    <col min="3061" max="3061" width="17.875" bestFit="1" customWidth="1"/>
    <col min="3062" max="3062" width="6.875" bestFit="1" customWidth="1"/>
    <col min="3063" max="3063" width="10.25" bestFit="1" customWidth="1"/>
    <col min="3064" max="3066" width="6.875" bestFit="1" customWidth="1"/>
    <col min="3067" max="3067" width="9.25" bestFit="1" customWidth="1"/>
    <col min="3068" max="3068" width="17.875" bestFit="1" customWidth="1"/>
    <col min="3069" max="3069" width="6.875" bestFit="1" customWidth="1"/>
    <col min="3070" max="3070" width="10.25" bestFit="1" customWidth="1"/>
    <col min="3071" max="3073" width="6.875" bestFit="1" customWidth="1"/>
    <col min="3074" max="3074" width="9.25" bestFit="1" customWidth="1"/>
    <col min="3075" max="3075" width="17.875" bestFit="1" customWidth="1"/>
    <col min="3076" max="3076" width="6.875" bestFit="1" customWidth="1"/>
    <col min="3077" max="3077" width="10.25" bestFit="1" customWidth="1"/>
    <col min="3078" max="3080" width="6.875" bestFit="1" customWidth="1"/>
    <col min="3081" max="3081" width="9.25" bestFit="1" customWidth="1"/>
    <col min="3082" max="3082" width="17.875" bestFit="1" customWidth="1"/>
    <col min="3083" max="3083" width="6.875" bestFit="1" customWidth="1"/>
    <col min="3084" max="3084" width="10.25" bestFit="1" customWidth="1"/>
    <col min="3085" max="3087" width="6.875" bestFit="1" customWidth="1"/>
    <col min="3088" max="3088" width="9.25" bestFit="1" customWidth="1"/>
    <col min="3089" max="3089" width="17.875" bestFit="1" customWidth="1"/>
    <col min="3090" max="3090" width="6.875" bestFit="1" customWidth="1"/>
    <col min="3091" max="3091" width="10.25" bestFit="1" customWidth="1"/>
    <col min="3092" max="3094" width="6.875" bestFit="1" customWidth="1"/>
    <col min="3095" max="3096" width="9.25" bestFit="1" customWidth="1"/>
    <col min="3097" max="3097" width="17.875" bestFit="1" customWidth="1"/>
    <col min="3098" max="3098" width="6.875" bestFit="1" customWidth="1"/>
    <col min="3099" max="3099" width="10.25" bestFit="1" customWidth="1"/>
    <col min="3100" max="3102" width="6.875" bestFit="1" customWidth="1"/>
    <col min="3103" max="3103" width="9.25" bestFit="1" customWidth="1"/>
    <col min="3104" max="3104" width="17.875" bestFit="1" customWidth="1"/>
    <col min="3105" max="3105" width="6.875" bestFit="1" customWidth="1"/>
    <col min="3106" max="3106" width="8.875" bestFit="1" customWidth="1"/>
    <col min="3107" max="3109" width="6.875" bestFit="1" customWidth="1"/>
    <col min="3110" max="3110" width="9.25" bestFit="1" customWidth="1"/>
    <col min="3111" max="3111" width="17.875" bestFit="1" customWidth="1"/>
    <col min="3112" max="3112" width="6.875" bestFit="1" customWidth="1"/>
    <col min="3113" max="3113" width="8.875" bestFit="1" customWidth="1"/>
    <col min="3114" max="3116" width="6.875" bestFit="1" customWidth="1"/>
    <col min="3117" max="3117" width="9.25" bestFit="1" customWidth="1"/>
    <col min="3118" max="3118" width="17.875" bestFit="1" customWidth="1"/>
    <col min="3119" max="3119" width="6.875" bestFit="1" customWidth="1"/>
    <col min="3120" max="3120" width="8.875" bestFit="1" customWidth="1"/>
    <col min="3121" max="3123" width="6.875" bestFit="1" customWidth="1"/>
    <col min="3124" max="3124" width="9.25" bestFit="1" customWidth="1"/>
    <col min="3125" max="3125" width="17.875" bestFit="1" customWidth="1"/>
    <col min="3126" max="3126" width="6.875" bestFit="1" customWidth="1"/>
    <col min="3127" max="3127" width="10.25" bestFit="1" customWidth="1"/>
    <col min="3128" max="3130" width="6.875" bestFit="1" customWidth="1"/>
    <col min="3131" max="3131" width="9.25" bestFit="1" customWidth="1"/>
    <col min="3132" max="3132" width="17.875" bestFit="1" customWidth="1"/>
    <col min="3133" max="3133" width="6.875" bestFit="1" customWidth="1"/>
    <col min="3134" max="3134" width="8.875" bestFit="1" customWidth="1"/>
    <col min="3135" max="3137" width="6.875" bestFit="1" customWidth="1"/>
    <col min="3138" max="3138" width="9.25" bestFit="1" customWidth="1"/>
    <col min="3139" max="3139" width="17.875" bestFit="1" customWidth="1"/>
    <col min="3140" max="3140" width="6.875" bestFit="1" customWidth="1"/>
    <col min="3141" max="3141" width="8.875" bestFit="1" customWidth="1"/>
    <col min="3142" max="3144" width="6.875" bestFit="1" customWidth="1"/>
    <col min="3145" max="3145" width="9.25" bestFit="1" customWidth="1"/>
    <col min="3146" max="3146" width="17.875" bestFit="1" customWidth="1"/>
    <col min="3147" max="3147" width="6.875" bestFit="1" customWidth="1"/>
    <col min="3148" max="3148" width="8.875" bestFit="1" customWidth="1"/>
    <col min="3149" max="3151" width="6.875" bestFit="1" customWidth="1"/>
    <col min="3152" max="3153" width="9.25" bestFit="1" customWidth="1"/>
    <col min="3154" max="3154" width="17.875" bestFit="1" customWidth="1"/>
    <col min="3155" max="3155" width="6.875" bestFit="1" customWidth="1"/>
    <col min="3156" max="3156" width="10.25" bestFit="1" customWidth="1"/>
    <col min="3157" max="3159" width="6.875" bestFit="1" customWidth="1"/>
    <col min="3160" max="3160" width="9.25" bestFit="1" customWidth="1"/>
    <col min="3161" max="3161" width="17.875" bestFit="1" customWidth="1"/>
    <col min="3162" max="3162" width="6.875" bestFit="1" customWidth="1"/>
    <col min="3163" max="3163" width="8.875" bestFit="1" customWidth="1"/>
    <col min="3164" max="3166" width="6.875" bestFit="1" customWidth="1"/>
    <col min="3167" max="3167" width="9.25" bestFit="1" customWidth="1"/>
    <col min="3168" max="3168" width="17.875" bestFit="1" customWidth="1"/>
    <col min="3169" max="3169" width="6.875" bestFit="1" customWidth="1"/>
    <col min="3170" max="3170" width="8.875" bestFit="1" customWidth="1"/>
    <col min="3171" max="3173" width="6.875" bestFit="1" customWidth="1"/>
    <col min="3174" max="3174" width="9.25" bestFit="1" customWidth="1"/>
    <col min="3175" max="3175" width="17.875" bestFit="1" customWidth="1"/>
    <col min="3176" max="3176" width="6.875" bestFit="1" customWidth="1"/>
    <col min="3177" max="3177" width="8.875" bestFit="1" customWidth="1"/>
    <col min="3178" max="3180" width="6.875" bestFit="1" customWidth="1"/>
    <col min="3181" max="3181" width="9.25" bestFit="1" customWidth="1"/>
    <col min="3182" max="3182" width="17.875" bestFit="1" customWidth="1"/>
    <col min="3183" max="3183" width="6.875" bestFit="1" customWidth="1"/>
    <col min="3184" max="3184" width="10.25" bestFit="1" customWidth="1"/>
    <col min="3185" max="3187" width="6.875" bestFit="1" customWidth="1"/>
    <col min="3188" max="3188" width="9.25" bestFit="1" customWidth="1"/>
    <col min="3189" max="3189" width="17.875" bestFit="1" customWidth="1"/>
    <col min="3190" max="3190" width="6.875" bestFit="1" customWidth="1"/>
    <col min="3191" max="3191" width="8.875" bestFit="1" customWidth="1"/>
    <col min="3192" max="3194" width="6.875" bestFit="1" customWidth="1"/>
    <col min="3195" max="3195" width="9.25" bestFit="1" customWidth="1"/>
    <col min="3196" max="3196" width="17.875" bestFit="1" customWidth="1"/>
    <col min="3197" max="3197" width="6.875" bestFit="1" customWidth="1"/>
    <col min="3198" max="3198" width="8.875" bestFit="1" customWidth="1"/>
    <col min="3199" max="3201" width="6.875" bestFit="1" customWidth="1"/>
    <col min="3202" max="3202" width="9.25" bestFit="1" customWidth="1"/>
    <col min="3203" max="3203" width="17.875" bestFit="1" customWidth="1"/>
    <col min="3204" max="3204" width="6.875" bestFit="1" customWidth="1"/>
    <col min="3205" max="3205" width="8.875" bestFit="1" customWidth="1"/>
    <col min="3206" max="3208" width="6.875" bestFit="1" customWidth="1"/>
    <col min="3209" max="3210" width="9.25" bestFit="1" customWidth="1"/>
    <col min="3211" max="3211" width="17.875" bestFit="1" customWidth="1"/>
    <col min="3212" max="3212" width="6.875" bestFit="1" customWidth="1"/>
    <col min="3213" max="3213" width="10.25" bestFit="1" customWidth="1"/>
    <col min="3214" max="3216" width="6.875" bestFit="1" customWidth="1"/>
    <col min="3217" max="3217" width="9.25" bestFit="1" customWidth="1"/>
    <col min="3218" max="3218" width="17.875" bestFit="1" customWidth="1"/>
    <col min="3219" max="3219" width="6.875" bestFit="1" customWidth="1"/>
    <col min="3220" max="3220" width="8.875" bestFit="1" customWidth="1"/>
    <col min="3221" max="3223" width="6.875" bestFit="1" customWidth="1"/>
    <col min="3224" max="3224" width="9.25" bestFit="1" customWidth="1"/>
    <col min="3225" max="3225" width="17.875" bestFit="1" customWidth="1"/>
    <col min="3226" max="3226" width="6.875" bestFit="1" customWidth="1"/>
    <col min="3227" max="3227" width="8.875" bestFit="1" customWidth="1"/>
    <col min="3228" max="3230" width="6.875" bestFit="1" customWidth="1"/>
    <col min="3231" max="3231" width="9.25" bestFit="1" customWidth="1"/>
    <col min="3232" max="3232" width="17.875" bestFit="1" customWidth="1"/>
    <col min="3233" max="3233" width="6.875" bestFit="1" customWidth="1"/>
    <col min="3234" max="3234" width="8.875" bestFit="1" customWidth="1"/>
    <col min="3235" max="3237" width="6.875" bestFit="1" customWidth="1"/>
    <col min="3238" max="3238" width="9.25" bestFit="1" customWidth="1"/>
    <col min="3239" max="3239" width="17.875" bestFit="1" customWidth="1"/>
    <col min="3240" max="3240" width="6.875" bestFit="1" customWidth="1"/>
    <col min="3241" max="3241" width="10.25" bestFit="1" customWidth="1"/>
    <col min="3242" max="3244" width="6.875" bestFit="1" customWidth="1"/>
    <col min="3245" max="3245" width="9.25" bestFit="1" customWidth="1"/>
    <col min="3246" max="3246" width="17.875" bestFit="1" customWidth="1"/>
    <col min="3247" max="3247" width="6.875" bestFit="1" customWidth="1"/>
    <col min="3248" max="3248" width="8.875" bestFit="1" customWidth="1"/>
    <col min="3249" max="3251" width="6.875" bestFit="1" customWidth="1"/>
    <col min="3252" max="3252" width="9.25" bestFit="1" customWidth="1"/>
    <col min="3253" max="3253" width="17.875" bestFit="1" customWidth="1"/>
    <col min="3254" max="3254" width="6.875" bestFit="1" customWidth="1"/>
    <col min="3255" max="3255" width="8.875" bestFit="1" customWidth="1"/>
    <col min="3256" max="3258" width="6.875" bestFit="1" customWidth="1"/>
    <col min="3259" max="3259" width="9.25" bestFit="1" customWidth="1"/>
    <col min="3260" max="3260" width="17.875" bestFit="1" customWidth="1"/>
    <col min="3261" max="3261" width="6.875" bestFit="1" customWidth="1"/>
    <col min="3262" max="3262" width="8.875" bestFit="1" customWidth="1"/>
    <col min="3263" max="3265" width="6.875" bestFit="1" customWidth="1"/>
    <col min="3266" max="3267" width="9.25" bestFit="1" customWidth="1"/>
    <col min="3268" max="3268" width="17.875" bestFit="1" customWidth="1"/>
    <col min="3269" max="3269" width="6.875" bestFit="1" customWidth="1"/>
    <col min="3270" max="3270" width="10.25" bestFit="1" customWidth="1"/>
    <col min="3271" max="3273" width="6.875" bestFit="1" customWidth="1"/>
    <col min="3274" max="3274" width="9.25" bestFit="1" customWidth="1"/>
    <col min="3275" max="3275" width="17.875" bestFit="1" customWidth="1"/>
    <col min="3276" max="3276" width="6.875" bestFit="1" customWidth="1"/>
    <col min="3277" max="3277" width="8.875" bestFit="1" customWidth="1"/>
    <col min="3278" max="3280" width="6.875" bestFit="1" customWidth="1"/>
    <col min="3281" max="3281" width="9.25" bestFit="1" customWidth="1"/>
    <col min="3282" max="3282" width="17.875" bestFit="1" customWidth="1"/>
    <col min="3283" max="3283" width="6.875" bestFit="1" customWidth="1"/>
    <col min="3284" max="3284" width="8.875" bestFit="1" customWidth="1"/>
    <col min="3285" max="3287" width="6.875" bestFit="1" customWidth="1"/>
    <col min="3288" max="3288" width="9.25" bestFit="1" customWidth="1"/>
    <col min="3289" max="3289" width="17.875" bestFit="1" customWidth="1"/>
    <col min="3290" max="3290" width="6.875" bestFit="1" customWidth="1"/>
    <col min="3291" max="3291" width="8.875" bestFit="1" customWidth="1"/>
    <col min="3292" max="3294" width="6.875" bestFit="1" customWidth="1"/>
    <col min="3295" max="3295" width="9.25" bestFit="1" customWidth="1"/>
    <col min="3296" max="3296" width="17.875" bestFit="1" customWidth="1"/>
    <col min="3297" max="3297" width="6.875" bestFit="1" customWidth="1"/>
    <col min="3298" max="3298" width="10.25" bestFit="1" customWidth="1"/>
    <col min="3299" max="3301" width="6.875" bestFit="1" customWidth="1"/>
    <col min="3302" max="3302" width="9.25" bestFit="1" customWidth="1"/>
    <col min="3303" max="3303" width="17.875" bestFit="1" customWidth="1"/>
    <col min="3304" max="3304" width="6.875" bestFit="1" customWidth="1"/>
    <col min="3305" max="3305" width="8.875" bestFit="1" customWidth="1"/>
    <col min="3306" max="3308" width="6.875" bestFit="1" customWidth="1"/>
    <col min="3309" max="3309" width="9.25" bestFit="1" customWidth="1"/>
    <col min="3310" max="3310" width="17.875" bestFit="1" customWidth="1"/>
    <col min="3311" max="3311" width="6.875" bestFit="1" customWidth="1"/>
    <col min="3312" max="3312" width="8.875" bestFit="1" customWidth="1"/>
    <col min="3313" max="3315" width="6.875" bestFit="1" customWidth="1"/>
    <col min="3316" max="3316" width="9.25" bestFit="1" customWidth="1"/>
    <col min="3317" max="3317" width="17.875" bestFit="1" customWidth="1"/>
    <col min="3318" max="3318" width="6.875" bestFit="1" customWidth="1"/>
    <col min="3319" max="3319" width="8.875" bestFit="1" customWidth="1"/>
    <col min="3320" max="3322" width="6.875" bestFit="1" customWidth="1"/>
    <col min="3323" max="3324" width="9.25" bestFit="1" customWidth="1"/>
    <col min="3325" max="3325" width="17.875" bestFit="1" customWidth="1"/>
    <col min="3326" max="3326" width="6.875" bestFit="1" customWidth="1"/>
    <col min="3327" max="3327" width="10.25" bestFit="1" customWidth="1"/>
    <col min="3328" max="3330" width="6.875" bestFit="1" customWidth="1"/>
    <col min="3331" max="3331" width="9.25" bestFit="1" customWidth="1"/>
    <col min="3332" max="3332" width="17.875" bestFit="1" customWidth="1"/>
    <col min="3333" max="3333" width="6.875" bestFit="1" customWidth="1"/>
    <col min="3334" max="3334" width="8.875" bestFit="1" customWidth="1"/>
    <col min="3335" max="3337" width="6.875" bestFit="1" customWidth="1"/>
    <col min="3338" max="3338" width="9.25" bestFit="1" customWidth="1"/>
    <col min="3339" max="3339" width="17.875" bestFit="1" customWidth="1"/>
    <col min="3340" max="3340" width="6.875" bestFit="1" customWidth="1"/>
    <col min="3341" max="3341" width="8.875" bestFit="1" customWidth="1"/>
    <col min="3342" max="3344" width="6.875" bestFit="1" customWidth="1"/>
    <col min="3345" max="3345" width="9.25" bestFit="1" customWidth="1"/>
    <col min="3346" max="3346" width="17.875" bestFit="1" customWidth="1"/>
    <col min="3347" max="3347" width="6.875" bestFit="1" customWidth="1"/>
    <col min="3348" max="3348" width="8.875" bestFit="1" customWidth="1"/>
    <col min="3349" max="3351" width="6.875" bestFit="1" customWidth="1"/>
    <col min="3352" max="3352" width="9.25" bestFit="1" customWidth="1"/>
    <col min="3353" max="3353" width="17.875" bestFit="1" customWidth="1"/>
    <col min="3354" max="3354" width="6.875" bestFit="1" customWidth="1"/>
    <col min="3355" max="3355" width="10.25" bestFit="1" customWidth="1"/>
    <col min="3356" max="3358" width="6.875" bestFit="1" customWidth="1"/>
    <col min="3359" max="3359" width="9.25" bestFit="1" customWidth="1"/>
    <col min="3360" max="3360" width="17.875" bestFit="1" customWidth="1"/>
    <col min="3361" max="3361" width="6.875" bestFit="1" customWidth="1"/>
    <col min="3362" max="3362" width="8.875" bestFit="1" customWidth="1"/>
    <col min="3363" max="3365" width="6.875" bestFit="1" customWidth="1"/>
    <col min="3366" max="3366" width="9.25" bestFit="1" customWidth="1"/>
    <col min="3367" max="3367" width="17.875" bestFit="1" customWidth="1"/>
    <col min="3368" max="3368" width="6.875" bestFit="1" customWidth="1"/>
    <col min="3369" max="3369" width="8.875" bestFit="1" customWidth="1"/>
    <col min="3370" max="3372" width="6.875" bestFit="1" customWidth="1"/>
    <col min="3373" max="3373" width="9.25" bestFit="1" customWidth="1"/>
    <col min="3374" max="3374" width="17.875" bestFit="1" customWidth="1"/>
    <col min="3375" max="3375" width="6.875" bestFit="1" customWidth="1"/>
    <col min="3376" max="3376" width="8.875" bestFit="1" customWidth="1"/>
    <col min="3377" max="3379" width="6.875" bestFit="1" customWidth="1"/>
    <col min="3380" max="3381" width="9.25" bestFit="1" customWidth="1"/>
    <col min="3382" max="3382" width="17.875" bestFit="1" customWidth="1"/>
    <col min="3383" max="3383" width="6.875" bestFit="1" customWidth="1"/>
    <col min="3384" max="3384" width="10.25" bestFit="1" customWidth="1"/>
    <col min="3385" max="3387" width="6.875" bestFit="1" customWidth="1"/>
    <col min="3388" max="3388" width="9.25" bestFit="1" customWidth="1"/>
    <col min="3389" max="3389" width="17.875" bestFit="1" customWidth="1"/>
    <col min="3390" max="3390" width="6.875" bestFit="1" customWidth="1"/>
    <col min="3391" max="3391" width="8.875" bestFit="1" customWidth="1"/>
    <col min="3392" max="3394" width="6.875" bestFit="1" customWidth="1"/>
    <col min="3395" max="3395" width="9.25" bestFit="1" customWidth="1"/>
    <col min="3396" max="3396" width="17.875" bestFit="1" customWidth="1"/>
    <col min="3397" max="3397" width="6.875" bestFit="1" customWidth="1"/>
    <col min="3398" max="3398" width="8.875" bestFit="1" customWidth="1"/>
    <col min="3399" max="3401" width="6.875" bestFit="1" customWidth="1"/>
    <col min="3402" max="3402" width="9.25" bestFit="1" customWidth="1"/>
    <col min="3403" max="3403" width="17.875" bestFit="1" customWidth="1"/>
    <col min="3404" max="3404" width="6.875" bestFit="1" customWidth="1"/>
    <col min="3405" max="3405" width="8.875" bestFit="1" customWidth="1"/>
    <col min="3406" max="3408" width="6.875" bestFit="1" customWidth="1"/>
    <col min="3409" max="3409" width="9.25" bestFit="1" customWidth="1"/>
    <col min="3410" max="3410" width="17.875" bestFit="1" customWidth="1"/>
    <col min="3411" max="3411" width="6.875" bestFit="1" customWidth="1"/>
    <col min="3412" max="3412" width="10.25" bestFit="1" customWidth="1"/>
    <col min="3413" max="3415" width="6.875" bestFit="1" customWidth="1"/>
    <col min="3416" max="3416" width="9.25" bestFit="1" customWidth="1"/>
    <col min="3417" max="3417" width="17.875" bestFit="1" customWidth="1"/>
    <col min="3418" max="3418" width="6.875" bestFit="1" customWidth="1"/>
    <col min="3419" max="3419" width="8.875" bestFit="1" customWidth="1"/>
    <col min="3420" max="3422" width="6.875" bestFit="1" customWidth="1"/>
    <col min="3423" max="3423" width="9.25" bestFit="1" customWidth="1"/>
    <col min="3424" max="3424" width="17.875" bestFit="1" customWidth="1"/>
    <col min="3425" max="3425" width="6.875" bestFit="1" customWidth="1"/>
    <col min="3426" max="3426" width="8.875" bestFit="1" customWidth="1"/>
    <col min="3427" max="3429" width="6.875" bestFit="1" customWidth="1"/>
    <col min="3430" max="3430" width="9.25" bestFit="1" customWidth="1"/>
    <col min="3431" max="3431" width="17.875" bestFit="1" customWidth="1"/>
    <col min="3432" max="3432" width="6.875" bestFit="1" customWidth="1"/>
    <col min="3433" max="3433" width="8.875" bestFit="1" customWidth="1"/>
    <col min="3434" max="3436" width="6.875" bestFit="1" customWidth="1"/>
    <col min="3437" max="3438" width="9.25" bestFit="1" customWidth="1"/>
    <col min="3439" max="3439" width="17.875" bestFit="1" customWidth="1"/>
    <col min="3440" max="3440" width="6.875" bestFit="1" customWidth="1"/>
    <col min="3441" max="3441" width="10.25" bestFit="1" customWidth="1"/>
    <col min="3442" max="3444" width="6.875" bestFit="1" customWidth="1"/>
    <col min="3445" max="3445" width="9.25" bestFit="1" customWidth="1"/>
    <col min="3446" max="3446" width="17.875" bestFit="1" customWidth="1"/>
    <col min="3447" max="3447" width="6.875" bestFit="1" customWidth="1"/>
    <col min="3448" max="3448" width="8.875" bestFit="1" customWidth="1"/>
    <col min="3449" max="3451" width="6.875" bestFit="1" customWidth="1"/>
    <col min="3452" max="3452" width="9.25" bestFit="1" customWidth="1"/>
    <col min="3453" max="3453" width="17.875" bestFit="1" customWidth="1"/>
    <col min="3454" max="3454" width="6.875" bestFit="1" customWidth="1"/>
    <col min="3455" max="3455" width="8.875" bestFit="1" customWidth="1"/>
    <col min="3456" max="3458" width="6.875" bestFit="1" customWidth="1"/>
    <col min="3459" max="3459" width="9.25" bestFit="1" customWidth="1"/>
    <col min="3460" max="3460" width="17.875" bestFit="1" customWidth="1"/>
    <col min="3461" max="3461" width="6.875" bestFit="1" customWidth="1"/>
    <col min="3462" max="3462" width="8.875" bestFit="1" customWidth="1"/>
    <col min="3463" max="3465" width="6.875" bestFit="1" customWidth="1"/>
    <col min="3466" max="3466" width="9.25" bestFit="1" customWidth="1"/>
    <col min="3467" max="3467" width="17.875" bestFit="1" customWidth="1"/>
    <col min="3468" max="3468" width="6.875" bestFit="1" customWidth="1"/>
    <col min="3469" max="3469" width="10.25" bestFit="1" customWidth="1"/>
    <col min="3470" max="3472" width="6.875" bestFit="1" customWidth="1"/>
    <col min="3473" max="3473" width="9.25" bestFit="1" customWidth="1"/>
    <col min="3474" max="3474" width="17.875" bestFit="1" customWidth="1"/>
    <col min="3475" max="3475" width="6.875" bestFit="1" customWidth="1"/>
    <col min="3476" max="3476" width="8.875" bestFit="1" customWidth="1"/>
    <col min="3477" max="3479" width="6.875" bestFit="1" customWidth="1"/>
    <col min="3480" max="3480" width="9.25" bestFit="1" customWidth="1"/>
    <col min="3481" max="3481" width="17.875" bestFit="1" customWidth="1"/>
    <col min="3482" max="3482" width="6.875" bestFit="1" customWidth="1"/>
    <col min="3483" max="3483" width="8.875" bestFit="1" customWidth="1"/>
    <col min="3484" max="3486" width="6.875" bestFit="1" customWidth="1"/>
    <col min="3487" max="3487" width="9.25" bestFit="1" customWidth="1"/>
    <col min="3488" max="3488" width="17.875" bestFit="1" customWidth="1"/>
    <col min="3489" max="3489" width="6.875" bestFit="1" customWidth="1"/>
    <col min="3490" max="3490" width="8.875" bestFit="1" customWidth="1"/>
    <col min="3491" max="3493" width="6.875" bestFit="1" customWidth="1"/>
    <col min="3494" max="3494" width="9.25" bestFit="1" customWidth="1"/>
    <col min="3495" max="3495" width="6.875" bestFit="1" customWidth="1"/>
    <col min="3496" max="3496" width="10.25" bestFit="1" customWidth="1"/>
    <col min="3497" max="3499" width="6.875" bestFit="1" customWidth="1"/>
    <col min="3500" max="3500" width="9.25" bestFit="1" customWidth="1"/>
    <col min="3501" max="3501" width="17.875" bestFit="1" customWidth="1"/>
    <col min="3502" max="3502" width="6.875" bestFit="1" customWidth="1"/>
    <col min="3503" max="3503" width="8.875" bestFit="1" customWidth="1"/>
    <col min="3504" max="3506" width="6.875" bestFit="1" customWidth="1"/>
    <col min="3507" max="3507" width="9.25" bestFit="1" customWidth="1"/>
    <col min="3508" max="3508" width="17.875" bestFit="1" customWidth="1"/>
    <col min="3509" max="3509" width="6.875" bestFit="1" customWidth="1"/>
    <col min="3510" max="3510" width="8.875" bestFit="1" customWidth="1"/>
    <col min="3511" max="3513" width="6.875" bestFit="1" customWidth="1"/>
    <col min="3514" max="3514" width="9.25" bestFit="1" customWidth="1"/>
    <col min="3515" max="3515" width="17.875" bestFit="1" customWidth="1"/>
    <col min="3516" max="3516" width="6.875" bestFit="1" customWidth="1"/>
    <col min="3517" max="3517" width="8.875" bestFit="1" customWidth="1"/>
    <col min="3518" max="3520" width="6.875" bestFit="1" customWidth="1"/>
    <col min="3521" max="3521" width="9.25" bestFit="1" customWidth="1"/>
    <col min="3522" max="3522" width="17.875" bestFit="1" customWidth="1"/>
    <col min="3523" max="3523" width="6.875" bestFit="1" customWidth="1"/>
    <col min="3524" max="3524" width="10.25" bestFit="1" customWidth="1"/>
    <col min="3525" max="3527" width="6.875" bestFit="1" customWidth="1"/>
    <col min="3528" max="3528" width="9.25" bestFit="1" customWidth="1"/>
    <col min="3529" max="3529" width="17.875" bestFit="1" customWidth="1"/>
    <col min="3530" max="3530" width="6.875" bestFit="1" customWidth="1"/>
    <col min="3531" max="3531" width="8.875" bestFit="1" customWidth="1"/>
    <col min="3532" max="3534" width="6.875" bestFit="1" customWidth="1"/>
    <col min="3535" max="3535" width="9.25" bestFit="1" customWidth="1"/>
    <col min="3536" max="3536" width="17.875" bestFit="1" customWidth="1"/>
    <col min="3537" max="3537" width="6.875" bestFit="1" customWidth="1"/>
    <col min="3538" max="3538" width="8.875" bestFit="1" customWidth="1"/>
    <col min="3539" max="3541" width="6.875" bestFit="1" customWidth="1"/>
    <col min="3542" max="3542" width="9.25" bestFit="1" customWidth="1"/>
    <col min="3543" max="3543" width="17.875" bestFit="1" customWidth="1"/>
    <col min="3544" max="3544" width="6.875" bestFit="1" customWidth="1"/>
    <col min="3545" max="3545" width="8.875" bestFit="1" customWidth="1"/>
    <col min="3546" max="3548" width="6.875" bestFit="1" customWidth="1"/>
    <col min="3549" max="3550" width="9.25" bestFit="1" customWidth="1"/>
    <col min="3551" max="3551" width="17.875" bestFit="1" customWidth="1"/>
    <col min="3552" max="3552" width="6.875" bestFit="1" customWidth="1"/>
    <col min="3553" max="3553" width="10.25" bestFit="1" customWidth="1"/>
    <col min="3554" max="3556" width="6.875" bestFit="1" customWidth="1"/>
    <col min="3557" max="3557" width="9.25" bestFit="1" customWidth="1"/>
    <col min="3558" max="3558" width="17.875" bestFit="1" customWidth="1"/>
    <col min="3559" max="3559" width="6.875" bestFit="1" customWidth="1"/>
    <col min="3560" max="3560" width="8.875" bestFit="1" customWidth="1"/>
    <col min="3561" max="3563" width="6.875" bestFit="1" customWidth="1"/>
    <col min="3564" max="3564" width="9.25" bestFit="1" customWidth="1"/>
    <col min="3565" max="3565" width="17.875" bestFit="1" customWidth="1"/>
    <col min="3566" max="3566" width="6.875" bestFit="1" customWidth="1"/>
    <col min="3567" max="3567" width="8.875" bestFit="1" customWidth="1"/>
    <col min="3568" max="3570" width="6.875" bestFit="1" customWidth="1"/>
    <col min="3571" max="3571" width="9.25" bestFit="1" customWidth="1"/>
    <col min="3572" max="3572" width="17.875" bestFit="1" customWidth="1"/>
    <col min="3573" max="3573" width="6.875" bestFit="1" customWidth="1"/>
    <col min="3574" max="3574" width="8.875" bestFit="1" customWidth="1"/>
    <col min="3575" max="3577" width="6.875" bestFit="1" customWidth="1"/>
    <col min="3578" max="3578" width="9.25" bestFit="1" customWidth="1"/>
    <col min="3579" max="3579" width="17.875" bestFit="1" customWidth="1"/>
    <col min="3580" max="3580" width="6.875" bestFit="1" customWidth="1"/>
    <col min="3581" max="3581" width="10.25" bestFit="1" customWidth="1"/>
    <col min="3582" max="3584" width="6.875" bestFit="1" customWidth="1"/>
    <col min="3585" max="3585" width="9.25" bestFit="1" customWidth="1"/>
    <col min="3586" max="3586" width="17.875" bestFit="1" customWidth="1"/>
    <col min="3587" max="3587" width="6.875" bestFit="1" customWidth="1"/>
    <col min="3588" max="3588" width="8.875" bestFit="1" customWidth="1"/>
    <col min="3589" max="3591" width="6.875" bestFit="1" customWidth="1"/>
    <col min="3592" max="3592" width="9.25" bestFit="1" customWidth="1"/>
    <col min="3593" max="3593" width="17.875" bestFit="1" customWidth="1"/>
    <col min="3594" max="3594" width="6.875" bestFit="1" customWidth="1"/>
    <col min="3595" max="3595" width="8.875" bestFit="1" customWidth="1"/>
    <col min="3596" max="3598" width="6.875" bestFit="1" customWidth="1"/>
    <col min="3599" max="3599" width="9.25" bestFit="1" customWidth="1"/>
    <col min="3600" max="3600" width="17.875" bestFit="1" customWidth="1"/>
    <col min="3601" max="3601" width="6.875" bestFit="1" customWidth="1"/>
    <col min="3602" max="3602" width="8.875" bestFit="1" customWidth="1"/>
    <col min="3603" max="3605" width="6.875" bestFit="1" customWidth="1"/>
    <col min="3606" max="3606" width="9.25" bestFit="1" customWidth="1"/>
    <col min="3607" max="3607" width="7.875" bestFit="1" customWidth="1"/>
    <col min="3608" max="3608" width="17.875" bestFit="1" customWidth="1"/>
    <col min="3609" max="3609" width="6.875" bestFit="1" customWidth="1"/>
    <col min="3610" max="3610" width="8.875" bestFit="1" customWidth="1"/>
    <col min="3611" max="3613" width="6.875" bestFit="1" customWidth="1"/>
    <col min="3614" max="3614" width="7.875" bestFit="1" customWidth="1"/>
    <col min="3615" max="3615" width="17.875" bestFit="1" customWidth="1"/>
    <col min="3616" max="3616" width="6.875" bestFit="1" customWidth="1"/>
    <col min="3617" max="3617" width="8.875" bestFit="1" customWidth="1"/>
    <col min="3618" max="3620" width="6.875" bestFit="1" customWidth="1"/>
    <col min="3621" max="3621" width="7.875" bestFit="1" customWidth="1"/>
    <col min="3622" max="3622" width="17.875" bestFit="1" customWidth="1"/>
    <col min="3623" max="3623" width="6.875" bestFit="1" customWidth="1"/>
    <col min="3624" max="3624" width="8.875" bestFit="1" customWidth="1"/>
    <col min="3625" max="3627" width="6.875" bestFit="1" customWidth="1"/>
    <col min="3628" max="3628" width="7.875" bestFit="1" customWidth="1"/>
    <col min="3629" max="3629" width="17.875" bestFit="1" customWidth="1"/>
    <col min="3630" max="3630" width="6.875" bestFit="1" customWidth="1"/>
    <col min="3631" max="3631" width="8.875" bestFit="1" customWidth="1"/>
    <col min="3632" max="3634" width="6.875" bestFit="1" customWidth="1"/>
    <col min="3635" max="3635" width="7.875" bestFit="1" customWidth="1"/>
    <col min="3636" max="3636" width="17.875" bestFit="1" customWidth="1"/>
    <col min="3637" max="3637" width="6.875" bestFit="1" customWidth="1"/>
    <col min="3638" max="3638" width="8.875" bestFit="1" customWidth="1"/>
    <col min="3639" max="3641" width="6.875" bestFit="1" customWidth="1"/>
    <col min="3642" max="3642" width="7.875" bestFit="1" customWidth="1"/>
    <col min="3643" max="3643" width="17.875" bestFit="1" customWidth="1"/>
    <col min="3644" max="3644" width="6.875" bestFit="1" customWidth="1"/>
    <col min="3645" max="3645" width="8.875" bestFit="1" customWidth="1"/>
    <col min="3646" max="3648" width="6.875" bestFit="1" customWidth="1"/>
    <col min="3649" max="3649" width="7.875" bestFit="1" customWidth="1"/>
    <col min="3650" max="3650" width="17.875" bestFit="1" customWidth="1"/>
    <col min="3651" max="3651" width="6.875" bestFit="1" customWidth="1"/>
    <col min="3652" max="3652" width="8.875" bestFit="1" customWidth="1"/>
    <col min="3653" max="3655" width="6.875" bestFit="1" customWidth="1"/>
    <col min="3656" max="3656" width="7.875" bestFit="1" customWidth="1"/>
    <col min="3657" max="3657" width="17.875" bestFit="1" customWidth="1"/>
    <col min="3658" max="3658" width="6.875" bestFit="1" customWidth="1"/>
    <col min="3659" max="3659" width="8.875" bestFit="1" customWidth="1"/>
    <col min="3660" max="3662" width="6.875" bestFit="1" customWidth="1"/>
    <col min="3663" max="3664" width="7.875" bestFit="1" customWidth="1"/>
    <col min="3665" max="3665" width="17.875" bestFit="1" customWidth="1"/>
    <col min="3666" max="3666" width="6.875" bestFit="1" customWidth="1"/>
    <col min="3667" max="3667" width="10.25" bestFit="1" customWidth="1"/>
    <col min="3668" max="3670" width="6.875" bestFit="1" customWidth="1"/>
    <col min="3671" max="3671" width="7.875" bestFit="1" customWidth="1"/>
    <col min="3672" max="3672" width="17.875" bestFit="1" customWidth="1"/>
    <col min="3673" max="3673" width="6.875" bestFit="1" customWidth="1"/>
    <col min="3674" max="3674" width="10.25" bestFit="1" customWidth="1"/>
    <col min="3675" max="3677" width="6.875" bestFit="1" customWidth="1"/>
    <col min="3678" max="3678" width="7.875" bestFit="1" customWidth="1"/>
    <col min="3679" max="3679" width="17.875" bestFit="1" customWidth="1"/>
    <col min="3680" max="3680" width="6.875" bestFit="1" customWidth="1"/>
    <col min="3681" max="3681" width="8.875" bestFit="1" customWidth="1"/>
    <col min="3682" max="3684" width="6.875" bestFit="1" customWidth="1"/>
    <col min="3685" max="3685" width="7.875" bestFit="1" customWidth="1"/>
    <col min="3686" max="3686" width="17.875" bestFit="1" customWidth="1"/>
    <col min="3687" max="3687" width="6.875" bestFit="1" customWidth="1"/>
    <col min="3688" max="3688" width="10.25" bestFit="1" customWidth="1"/>
    <col min="3689" max="3691" width="6.875" bestFit="1" customWidth="1"/>
    <col min="3692" max="3692" width="7.875" bestFit="1" customWidth="1"/>
    <col min="3693" max="3693" width="17.875" bestFit="1" customWidth="1"/>
    <col min="3694" max="3694" width="6.875" bestFit="1" customWidth="1"/>
    <col min="3695" max="3695" width="10.25" bestFit="1" customWidth="1"/>
    <col min="3696" max="3698" width="6.875" bestFit="1" customWidth="1"/>
    <col min="3699" max="3699" width="7.875" bestFit="1" customWidth="1"/>
    <col min="3700" max="3700" width="17.875" bestFit="1" customWidth="1"/>
    <col min="3701" max="3701" width="6.875" bestFit="1" customWidth="1"/>
    <col min="3702" max="3702" width="8.875" bestFit="1" customWidth="1"/>
    <col min="3703" max="3705" width="6.875" bestFit="1" customWidth="1"/>
    <col min="3706" max="3706" width="7.875" bestFit="1" customWidth="1"/>
    <col min="3707" max="3707" width="17.875" bestFit="1" customWidth="1"/>
    <col min="3708" max="3708" width="6.875" bestFit="1" customWidth="1"/>
    <col min="3709" max="3709" width="10.25" bestFit="1" customWidth="1"/>
    <col min="3710" max="3712" width="6.875" bestFit="1" customWidth="1"/>
    <col min="3713" max="3713" width="7.875" bestFit="1" customWidth="1"/>
    <col min="3714" max="3714" width="17.875" bestFit="1" customWidth="1"/>
    <col min="3715" max="3715" width="6.875" bestFit="1" customWidth="1"/>
    <col min="3716" max="3716" width="10.25" bestFit="1" customWidth="1"/>
    <col min="3717" max="3719" width="6.875" bestFit="1" customWidth="1"/>
    <col min="3720" max="3720" width="7.875" bestFit="1" customWidth="1"/>
    <col min="3721" max="3721" width="7.125" bestFit="1" customWidth="1"/>
    <col min="3722" max="3722" width="17.875" bestFit="1" customWidth="1"/>
    <col min="3723" max="3723" width="6.875" bestFit="1" customWidth="1"/>
    <col min="3724" max="3724" width="10.25" bestFit="1" customWidth="1"/>
    <col min="3725" max="3727" width="6.875" bestFit="1" customWidth="1"/>
    <col min="3728" max="3728" width="7.125" bestFit="1" customWidth="1"/>
    <col min="3729" max="3729" width="17.875" bestFit="1" customWidth="1"/>
    <col min="3730" max="3730" width="6.875" bestFit="1" customWidth="1"/>
    <col min="3731" max="3731" width="10.25" bestFit="1" customWidth="1"/>
    <col min="3732" max="3734" width="6.875" bestFit="1" customWidth="1"/>
    <col min="3735" max="3735" width="7.125" bestFit="1" customWidth="1"/>
    <col min="3736" max="3736" width="17.875" bestFit="1" customWidth="1"/>
    <col min="3737" max="3737" width="6.875" bestFit="1" customWidth="1"/>
    <col min="3738" max="3738" width="10.25" bestFit="1" customWidth="1"/>
    <col min="3739" max="3741" width="6.875" bestFit="1" customWidth="1"/>
    <col min="3742" max="3742" width="7.875" bestFit="1" customWidth="1"/>
    <col min="3743" max="3743" width="17.875" bestFit="1" customWidth="1"/>
    <col min="3744" max="3744" width="6.875" bestFit="1" customWidth="1"/>
    <col min="3745" max="3745" width="10.25" bestFit="1" customWidth="1"/>
    <col min="3746" max="3748" width="6.875" bestFit="1" customWidth="1"/>
    <col min="3749" max="3749" width="7.875" bestFit="1" customWidth="1"/>
    <col min="3750" max="3750" width="17.875" bestFit="1" customWidth="1"/>
    <col min="3751" max="3751" width="6.875" bestFit="1" customWidth="1"/>
    <col min="3752" max="3752" width="10.25" bestFit="1" customWidth="1"/>
    <col min="3753" max="3755" width="6.875" bestFit="1" customWidth="1"/>
    <col min="3756" max="3756" width="7.875" bestFit="1" customWidth="1"/>
    <col min="3757" max="3757" width="17.875" bestFit="1" customWidth="1"/>
    <col min="3758" max="3758" width="6.875" bestFit="1" customWidth="1"/>
    <col min="3759" max="3759" width="10.25" bestFit="1" customWidth="1"/>
    <col min="3760" max="3762" width="6.875" bestFit="1" customWidth="1"/>
    <col min="3763" max="3763" width="7.875" bestFit="1" customWidth="1"/>
    <col min="3764" max="3764" width="17.875" bestFit="1" customWidth="1"/>
    <col min="3765" max="3765" width="6.875" bestFit="1" customWidth="1"/>
    <col min="3766" max="3766" width="10.25" bestFit="1" customWidth="1"/>
    <col min="3767" max="3769" width="6.875" bestFit="1" customWidth="1"/>
    <col min="3770" max="3770" width="7.875" bestFit="1" customWidth="1"/>
    <col min="3771" max="3771" width="17.875" bestFit="1" customWidth="1"/>
    <col min="3772" max="3772" width="6.875" bestFit="1" customWidth="1"/>
    <col min="3773" max="3773" width="10.25" bestFit="1" customWidth="1"/>
    <col min="3774" max="3776" width="6.875" bestFit="1" customWidth="1"/>
    <col min="3777" max="3777" width="7.125" bestFit="1" customWidth="1"/>
    <col min="3778" max="3778" width="10.25" bestFit="1" customWidth="1"/>
    <col min="3779" max="3779" width="17.875" bestFit="1" customWidth="1"/>
    <col min="3780" max="3780" width="5.875" bestFit="1" customWidth="1"/>
    <col min="3781" max="3781" width="8.875" bestFit="1" customWidth="1"/>
    <col min="3782" max="3784" width="5.875" bestFit="1" customWidth="1"/>
    <col min="3785" max="3785" width="10.25" bestFit="1" customWidth="1"/>
    <col min="3786" max="3786" width="17.875" bestFit="1" customWidth="1"/>
    <col min="3787" max="3787" width="5.875" bestFit="1" customWidth="1"/>
    <col min="3788" max="3788" width="8.875" bestFit="1" customWidth="1"/>
    <col min="3789" max="3791" width="5.875" bestFit="1" customWidth="1"/>
    <col min="3792" max="3792" width="10.25" bestFit="1" customWidth="1"/>
    <col min="3793" max="3793" width="17.875" bestFit="1" customWidth="1"/>
    <col min="3794" max="3794" width="5.875" bestFit="1" customWidth="1"/>
    <col min="3795" max="3795" width="8.875" bestFit="1" customWidth="1"/>
    <col min="3796" max="3798" width="5.875" bestFit="1" customWidth="1"/>
    <col min="3799" max="3799" width="11.375" bestFit="1" customWidth="1"/>
    <col min="3800" max="3800" width="17.875" bestFit="1" customWidth="1"/>
    <col min="3801" max="3801" width="5.875" bestFit="1" customWidth="1"/>
    <col min="3802" max="3802" width="8.875" bestFit="1" customWidth="1"/>
    <col min="3803" max="3805" width="5.875" bestFit="1" customWidth="1"/>
    <col min="3806" max="3806" width="11.375" bestFit="1" customWidth="1"/>
    <col min="3807" max="3807" width="17.875" bestFit="1" customWidth="1"/>
    <col min="3808" max="3808" width="5.875" bestFit="1" customWidth="1"/>
    <col min="3809" max="3809" width="8.875" bestFit="1" customWidth="1"/>
    <col min="3810" max="3812" width="5.875" bestFit="1" customWidth="1"/>
    <col min="3813" max="3813" width="9.25" bestFit="1" customWidth="1"/>
    <col min="3814" max="3814" width="17.875" bestFit="1" customWidth="1"/>
    <col min="3815" max="3815" width="5.875" bestFit="1" customWidth="1"/>
    <col min="3816" max="3816" width="7.875" bestFit="1" customWidth="1"/>
    <col min="3817" max="3819" width="5.875" bestFit="1" customWidth="1"/>
    <col min="3820" max="3820" width="10.25" bestFit="1" customWidth="1"/>
    <col min="3821" max="3821" width="17.875" bestFit="1" customWidth="1"/>
    <col min="3822" max="3822" width="5.875" bestFit="1" customWidth="1"/>
    <col min="3823" max="3823" width="7.875" bestFit="1" customWidth="1"/>
    <col min="3824" max="3826" width="5.875" bestFit="1" customWidth="1"/>
    <col min="3827" max="3827" width="10.25" bestFit="1" customWidth="1"/>
    <col min="3828" max="3828" width="17.875" bestFit="1" customWidth="1"/>
    <col min="3829" max="3829" width="5.875" bestFit="1" customWidth="1"/>
    <col min="3830" max="3830" width="8.875" bestFit="1" customWidth="1"/>
    <col min="3831" max="3833" width="5.875" bestFit="1" customWidth="1"/>
    <col min="3834" max="3834" width="11.375" bestFit="1" customWidth="1"/>
    <col min="3835" max="3835" width="9.25" bestFit="1" customWidth="1"/>
    <col min="3836" max="3836" width="17.875" bestFit="1" customWidth="1"/>
    <col min="3837" max="3837" width="6.875" bestFit="1" customWidth="1"/>
    <col min="3838" max="3838" width="10.25" bestFit="1" customWidth="1"/>
    <col min="3839" max="3841" width="6.875" bestFit="1" customWidth="1"/>
    <col min="3842" max="3842" width="7.875" bestFit="1" customWidth="1"/>
    <col min="3843" max="3843" width="17.875" bestFit="1" customWidth="1"/>
    <col min="3844" max="3844" width="6.875" bestFit="1" customWidth="1"/>
    <col min="3845" max="3845" width="10.25" bestFit="1" customWidth="1"/>
    <col min="3846" max="3848" width="6.875" bestFit="1" customWidth="1"/>
    <col min="3849" max="3849" width="9.25" bestFit="1" customWidth="1"/>
    <col min="3850" max="3850" width="17.875" bestFit="1" customWidth="1"/>
    <col min="3851" max="3851" width="6.875" bestFit="1" customWidth="1"/>
    <col min="3852" max="3852" width="10.25" bestFit="1" customWidth="1"/>
    <col min="3853" max="3855" width="6.875" bestFit="1" customWidth="1"/>
    <col min="3856" max="3856" width="10.25" bestFit="1" customWidth="1"/>
    <col min="3857" max="3857" width="17.875" bestFit="1" customWidth="1"/>
    <col min="3858" max="3858" width="6.875" bestFit="1" customWidth="1"/>
    <col min="3859" max="3859" width="10.25" bestFit="1" customWidth="1"/>
    <col min="3860" max="3862" width="6.875" bestFit="1" customWidth="1"/>
    <col min="3863" max="3863" width="9.25" bestFit="1" customWidth="1"/>
    <col min="3864" max="3864" width="17.875" bestFit="1" customWidth="1"/>
    <col min="3865" max="3865" width="6.875" bestFit="1" customWidth="1"/>
    <col min="3866" max="3866" width="10.25" bestFit="1" customWidth="1"/>
    <col min="3867" max="3869" width="6.875" bestFit="1" customWidth="1"/>
    <col min="3870" max="3870" width="7.875" bestFit="1" customWidth="1"/>
    <col min="3871" max="3871" width="17.875" bestFit="1" customWidth="1"/>
    <col min="3872" max="3872" width="6.875" bestFit="1" customWidth="1"/>
    <col min="3873" max="3873" width="10.25" bestFit="1" customWidth="1"/>
    <col min="3874" max="3876" width="6.875" bestFit="1" customWidth="1"/>
    <col min="3877" max="3877" width="9.25" bestFit="1" customWidth="1"/>
    <col min="3878" max="3878" width="17.875" bestFit="1" customWidth="1"/>
    <col min="3879" max="3879" width="6.875" bestFit="1" customWidth="1"/>
    <col min="3880" max="3880" width="10.25" bestFit="1" customWidth="1"/>
    <col min="3881" max="3883" width="6.875" bestFit="1" customWidth="1"/>
    <col min="3884" max="3884" width="9.25" bestFit="1" customWidth="1"/>
    <col min="3885" max="3885" width="17.875" bestFit="1" customWidth="1"/>
    <col min="3886" max="3886" width="6.875" bestFit="1" customWidth="1"/>
    <col min="3887" max="3887" width="10.25" bestFit="1" customWidth="1"/>
    <col min="3888" max="3890" width="6.875" bestFit="1" customWidth="1"/>
    <col min="3891" max="3891" width="9.25" bestFit="1" customWidth="1"/>
    <col min="3892" max="3892" width="7.875" bestFit="1" customWidth="1"/>
    <col min="3893" max="3893" width="17.875" bestFit="1" customWidth="1"/>
    <col min="3894" max="3894" width="6.875" bestFit="1" customWidth="1"/>
    <col min="3895" max="3895" width="10.25" bestFit="1" customWidth="1"/>
    <col min="3896" max="3898" width="6.875" bestFit="1" customWidth="1"/>
    <col min="3899" max="3899" width="7.875" bestFit="1" customWidth="1"/>
    <col min="3900" max="3900" width="17.875" bestFit="1" customWidth="1"/>
    <col min="3901" max="3901" width="6.875" bestFit="1" customWidth="1"/>
    <col min="3902" max="3902" width="10.25" bestFit="1" customWidth="1"/>
    <col min="3903" max="3905" width="6.875" bestFit="1" customWidth="1"/>
    <col min="3906" max="3906" width="9.25" bestFit="1" customWidth="1"/>
    <col min="3907" max="3907" width="17.875" bestFit="1" customWidth="1"/>
    <col min="3908" max="3908" width="6.875" bestFit="1" customWidth="1"/>
    <col min="3909" max="3909" width="11.375" bestFit="1" customWidth="1"/>
    <col min="3910" max="3912" width="6.875" bestFit="1" customWidth="1"/>
    <col min="3913" max="3913" width="9.25" bestFit="1" customWidth="1"/>
    <col min="3914" max="3914" width="17.875" bestFit="1" customWidth="1"/>
    <col min="3915" max="3915" width="6.875" bestFit="1" customWidth="1"/>
    <col min="3916" max="3916" width="10.25" bestFit="1" customWidth="1"/>
    <col min="3917" max="3919" width="6.875" bestFit="1" customWidth="1"/>
    <col min="3920" max="3920" width="7.875" bestFit="1" customWidth="1"/>
    <col min="3921" max="3921" width="17.875" bestFit="1" customWidth="1"/>
    <col min="3922" max="3922" width="6.875" bestFit="1" customWidth="1"/>
    <col min="3923" max="3923" width="10.25" bestFit="1" customWidth="1"/>
    <col min="3924" max="3926" width="6.875" bestFit="1" customWidth="1"/>
    <col min="3927" max="3927" width="9.25" bestFit="1" customWidth="1"/>
    <col min="3928" max="3928" width="17.875" bestFit="1" customWidth="1"/>
    <col min="3929" max="3929" width="6.875" bestFit="1" customWidth="1"/>
    <col min="3930" max="3930" width="10.25" bestFit="1" customWidth="1"/>
    <col min="3931" max="3933" width="6.875" bestFit="1" customWidth="1"/>
    <col min="3934" max="3934" width="9.25" bestFit="1" customWidth="1"/>
    <col min="3935" max="3935" width="17.875" bestFit="1" customWidth="1"/>
    <col min="3936" max="3936" width="6.875" bestFit="1" customWidth="1"/>
    <col min="3937" max="3937" width="10.25" bestFit="1" customWidth="1"/>
    <col min="3938" max="3940" width="6.875" bestFit="1" customWidth="1"/>
    <col min="3941" max="3941" width="7.875" bestFit="1" customWidth="1"/>
    <col min="3942" max="3942" width="17.875" bestFit="1" customWidth="1"/>
    <col min="3943" max="3943" width="6.875" bestFit="1" customWidth="1"/>
    <col min="3944" max="3944" width="10.25" bestFit="1" customWidth="1"/>
    <col min="3945" max="3947" width="6.875" bestFit="1" customWidth="1"/>
    <col min="3948" max="3949" width="7.875" bestFit="1" customWidth="1"/>
    <col min="3950" max="3950" width="17.875" bestFit="1" customWidth="1"/>
    <col min="3951" max="3951" width="6.875" bestFit="1" customWidth="1"/>
    <col min="3952" max="3952" width="10.25" bestFit="1" customWidth="1"/>
    <col min="3953" max="3955" width="6.875" bestFit="1" customWidth="1"/>
    <col min="3956" max="3956" width="7.875" bestFit="1" customWidth="1"/>
    <col min="3957" max="3957" width="17.875" bestFit="1" customWidth="1"/>
    <col min="3958" max="3958" width="6.875" bestFit="1" customWidth="1"/>
    <col min="3959" max="3959" width="10.25" bestFit="1" customWidth="1"/>
    <col min="3960" max="3962" width="6.875" bestFit="1" customWidth="1"/>
    <col min="3963" max="3963" width="9.25" bestFit="1" customWidth="1"/>
    <col min="3964" max="3964" width="17.875" bestFit="1" customWidth="1"/>
    <col min="3965" max="3965" width="6.875" bestFit="1" customWidth="1"/>
    <col min="3966" max="3966" width="11.375" bestFit="1" customWidth="1"/>
    <col min="3967" max="3969" width="6.875" bestFit="1" customWidth="1"/>
    <col min="3970" max="3970" width="9.25" bestFit="1" customWidth="1"/>
    <col min="3971" max="3971" width="17.875" bestFit="1" customWidth="1"/>
    <col min="3972" max="3972" width="6.875" bestFit="1" customWidth="1"/>
    <col min="3973" max="3973" width="10.25" bestFit="1" customWidth="1"/>
    <col min="3974" max="3976" width="6.875" bestFit="1" customWidth="1"/>
    <col min="3977" max="3977" width="7.875" bestFit="1" customWidth="1"/>
    <col min="3978" max="3978" width="17.875" bestFit="1" customWidth="1"/>
    <col min="3979" max="3979" width="6.875" bestFit="1" customWidth="1"/>
    <col min="3980" max="3980" width="10.25" bestFit="1" customWidth="1"/>
    <col min="3981" max="3983" width="6.875" bestFit="1" customWidth="1"/>
    <col min="3984" max="3984" width="9.25" bestFit="1" customWidth="1"/>
    <col min="3985" max="3985" width="17.875" bestFit="1" customWidth="1"/>
    <col min="3986" max="3986" width="6.875" bestFit="1" customWidth="1"/>
    <col min="3987" max="3987" width="10.25" bestFit="1" customWidth="1"/>
    <col min="3988" max="3990" width="6.875" bestFit="1" customWidth="1"/>
    <col min="3991" max="3991" width="9.25" bestFit="1" customWidth="1"/>
    <col min="3992" max="3992" width="17.875" bestFit="1" customWidth="1"/>
    <col min="3993" max="3993" width="6.875" bestFit="1" customWidth="1"/>
    <col min="3994" max="3994" width="10.25" bestFit="1" customWidth="1"/>
    <col min="3995" max="3997" width="6.875" bestFit="1" customWidth="1"/>
    <col min="3998" max="3998" width="7.875" bestFit="1" customWidth="1"/>
    <col min="3999" max="3999" width="17.875" bestFit="1" customWidth="1"/>
    <col min="4000" max="4000" width="6.875" bestFit="1" customWidth="1"/>
    <col min="4001" max="4001" width="10.25" bestFit="1" customWidth="1"/>
    <col min="4002" max="4004" width="6.875" bestFit="1" customWidth="1"/>
    <col min="4005" max="4006" width="7.875" bestFit="1" customWidth="1"/>
    <col min="4007" max="4007" width="17.875" bestFit="1" customWidth="1"/>
    <col min="4008" max="4008" width="6.875" bestFit="1" customWidth="1"/>
    <col min="4009" max="4009" width="10.25" bestFit="1" customWidth="1"/>
    <col min="4010" max="4012" width="6.875" bestFit="1" customWidth="1"/>
    <col min="4013" max="4013" width="7.875" bestFit="1" customWidth="1"/>
    <col min="4014" max="4014" width="17.875" bestFit="1" customWidth="1"/>
    <col min="4015" max="4015" width="6.875" bestFit="1" customWidth="1"/>
    <col min="4016" max="4016" width="10.25" bestFit="1" customWidth="1"/>
    <col min="4017" max="4019" width="6.875" bestFit="1" customWidth="1"/>
    <col min="4020" max="4020" width="9.25" bestFit="1" customWidth="1"/>
    <col min="4021" max="4021" width="17.875" bestFit="1" customWidth="1"/>
    <col min="4022" max="4022" width="6.875" bestFit="1" customWidth="1"/>
    <col min="4023" max="4023" width="11.375" bestFit="1" customWidth="1"/>
    <col min="4024" max="4026" width="6.875" bestFit="1" customWidth="1"/>
    <col min="4027" max="4027" width="9.25" bestFit="1" customWidth="1"/>
    <col min="4028" max="4028" width="17.875" bestFit="1" customWidth="1"/>
    <col min="4029" max="4029" width="6.875" bestFit="1" customWidth="1"/>
    <col min="4030" max="4030" width="10.25" bestFit="1" customWidth="1"/>
    <col min="4031" max="4033" width="6.875" bestFit="1" customWidth="1"/>
    <col min="4034" max="4034" width="7.875" bestFit="1" customWidth="1"/>
    <col min="4035" max="4035" width="17.875" bestFit="1" customWidth="1"/>
    <col min="4036" max="4036" width="6.875" bestFit="1" customWidth="1"/>
    <col min="4037" max="4037" width="10.25" bestFit="1" customWidth="1"/>
    <col min="4038" max="4040" width="6.875" bestFit="1" customWidth="1"/>
    <col min="4041" max="4041" width="9.25" bestFit="1" customWidth="1"/>
    <col min="4042" max="4042" width="17.875" bestFit="1" customWidth="1"/>
    <col min="4043" max="4043" width="6.875" bestFit="1" customWidth="1"/>
    <col min="4044" max="4044" width="10.25" bestFit="1" customWidth="1"/>
    <col min="4045" max="4047" width="6.875" bestFit="1" customWidth="1"/>
    <col min="4048" max="4048" width="9.25" bestFit="1" customWidth="1"/>
    <col min="4049" max="4049" width="17.875" bestFit="1" customWidth="1"/>
    <col min="4050" max="4050" width="6.875" bestFit="1" customWidth="1"/>
    <col min="4051" max="4051" width="10.25" bestFit="1" customWidth="1"/>
    <col min="4052" max="4054" width="6.875" bestFit="1" customWidth="1"/>
    <col min="4055" max="4055" width="7.875" bestFit="1" customWidth="1"/>
    <col min="4056" max="4056" width="17.875" bestFit="1" customWidth="1"/>
    <col min="4057" max="4057" width="6.875" bestFit="1" customWidth="1"/>
    <col min="4058" max="4058" width="10.25" bestFit="1" customWidth="1"/>
    <col min="4059" max="4061" width="6.875" bestFit="1" customWidth="1"/>
    <col min="4062" max="4063" width="7.875" bestFit="1" customWidth="1"/>
    <col min="4064" max="4064" width="17.875" bestFit="1" customWidth="1"/>
    <col min="4065" max="4065" width="6.875" bestFit="1" customWidth="1"/>
    <col min="4066" max="4066" width="10.25" bestFit="1" customWidth="1"/>
    <col min="4067" max="4069" width="6.875" bestFit="1" customWidth="1"/>
    <col min="4070" max="4070" width="7.875" bestFit="1" customWidth="1"/>
    <col min="4071" max="4071" width="17.875" bestFit="1" customWidth="1"/>
    <col min="4072" max="4072" width="6.875" bestFit="1" customWidth="1"/>
    <col min="4073" max="4073" width="10.25" bestFit="1" customWidth="1"/>
    <col min="4074" max="4076" width="6.875" bestFit="1" customWidth="1"/>
    <col min="4077" max="4077" width="9.25" bestFit="1" customWidth="1"/>
    <col min="4078" max="4078" width="17.875" bestFit="1" customWidth="1"/>
    <col min="4079" max="4079" width="6.875" bestFit="1" customWidth="1"/>
    <col min="4080" max="4080" width="11.375" bestFit="1" customWidth="1"/>
    <col min="4081" max="4083" width="6.875" bestFit="1" customWidth="1"/>
    <col min="4084" max="4084" width="9.25" bestFit="1" customWidth="1"/>
    <col min="4085" max="4085" width="17.875" bestFit="1" customWidth="1"/>
    <col min="4086" max="4086" width="6.875" bestFit="1" customWidth="1"/>
    <col min="4087" max="4087" width="10.25" bestFit="1" customWidth="1"/>
    <col min="4088" max="4090" width="6.875" bestFit="1" customWidth="1"/>
    <col min="4091" max="4091" width="7.875" bestFit="1" customWidth="1"/>
    <col min="4092" max="4092" width="17.875" bestFit="1" customWidth="1"/>
    <col min="4093" max="4093" width="6.875" bestFit="1" customWidth="1"/>
    <col min="4094" max="4094" width="10.25" bestFit="1" customWidth="1"/>
    <col min="4095" max="4097" width="6.875" bestFit="1" customWidth="1"/>
    <col min="4098" max="4098" width="9.25" bestFit="1" customWidth="1"/>
    <col min="4099" max="4099" width="17.875" bestFit="1" customWidth="1"/>
    <col min="4100" max="4100" width="6.875" bestFit="1" customWidth="1"/>
    <col min="4101" max="4101" width="10.25" bestFit="1" customWidth="1"/>
    <col min="4102" max="4104" width="6.875" bestFit="1" customWidth="1"/>
    <col min="4105" max="4105" width="9.25" bestFit="1" customWidth="1"/>
    <col min="4106" max="4106" width="17.875" bestFit="1" customWidth="1"/>
    <col min="4107" max="4107" width="6.875" bestFit="1" customWidth="1"/>
    <col min="4108" max="4108" width="10.25" bestFit="1" customWidth="1"/>
    <col min="4109" max="4111" width="6.875" bestFit="1" customWidth="1"/>
    <col min="4112" max="4112" width="7.875" bestFit="1" customWidth="1"/>
    <col min="4113" max="4113" width="17.875" bestFit="1" customWidth="1"/>
    <col min="4114" max="4114" width="6.875" bestFit="1" customWidth="1"/>
    <col min="4115" max="4115" width="10.25" bestFit="1" customWidth="1"/>
    <col min="4116" max="4118" width="6.875" bestFit="1" customWidth="1"/>
    <col min="4119" max="4120" width="7.875" bestFit="1" customWidth="1"/>
    <col min="4121" max="4121" width="17.875" bestFit="1" customWidth="1"/>
    <col min="4122" max="4122" width="6.875" bestFit="1" customWidth="1"/>
    <col min="4123" max="4123" width="10.25" bestFit="1" customWidth="1"/>
    <col min="4124" max="4126" width="6.875" bestFit="1" customWidth="1"/>
    <col min="4127" max="4127" width="7.875" bestFit="1" customWidth="1"/>
    <col min="4128" max="4128" width="17.875" bestFit="1" customWidth="1"/>
    <col min="4129" max="4129" width="6.875" bestFit="1" customWidth="1"/>
    <col min="4130" max="4130" width="10.25" bestFit="1" customWidth="1"/>
    <col min="4131" max="4133" width="6.875" bestFit="1" customWidth="1"/>
    <col min="4134" max="4134" width="9.25" bestFit="1" customWidth="1"/>
    <col min="4135" max="4135" width="17.875" bestFit="1" customWidth="1"/>
    <col min="4136" max="4136" width="6.875" bestFit="1" customWidth="1"/>
    <col min="4137" max="4137" width="11.375" bestFit="1" customWidth="1"/>
    <col min="4138" max="4140" width="6.875" bestFit="1" customWidth="1"/>
    <col min="4141" max="4141" width="9.25" bestFit="1" customWidth="1"/>
    <col min="4142" max="4142" width="17.875" bestFit="1" customWidth="1"/>
    <col min="4143" max="4143" width="6.875" bestFit="1" customWidth="1"/>
    <col min="4144" max="4144" width="10.25" bestFit="1" customWidth="1"/>
    <col min="4145" max="4147" width="6.875" bestFit="1" customWidth="1"/>
    <col min="4148" max="4148" width="7.875" bestFit="1" customWidth="1"/>
    <col min="4149" max="4149" width="17.875" bestFit="1" customWidth="1"/>
    <col min="4150" max="4150" width="6.875" bestFit="1" customWidth="1"/>
    <col min="4151" max="4151" width="10.25" bestFit="1" customWidth="1"/>
    <col min="4152" max="4154" width="6.875" bestFit="1" customWidth="1"/>
    <col min="4155" max="4155" width="9.25" bestFit="1" customWidth="1"/>
    <col min="4156" max="4156" width="17.875" bestFit="1" customWidth="1"/>
    <col min="4157" max="4157" width="6.875" bestFit="1" customWidth="1"/>
    <col min="4158" max="4158" width="10.25" bestFit="1" customWidth="1"/>
    <col min="4159" max="4161" width="6.875" bestFit="1" customWidth="1"/>
    <col min="4162" max="4162" width="9.25" bestFit="1" customWidth="1"/>
    <col min="4163" max="4163" width="17.875" bestFit="1" customWidth="1"/>
    <col min="4164" max="4164" width="6.875" bestFit="1" customWidth="1"/>
    <col min="4165" max="4165" width="10.25" bestFit="1" customWidth="1"/>
    <col min="4166" max="4168" width="6.875" bestFit="1" customWidth="1"/>
    <col min="4169" max="4169" width="7.875" bestFit="1" customWidth="1"/>
    <col min="4170" max="4170" width="17.875" bestFit="1" customWidth="1"/>
    <col min="4171" max="4171" width="6.875" bestFit="1" customWidth="1"/>
    <col min="4172" max="4172" width="10.25" bestFit="1" customWidth="1"/>
    <col min="4173" max="4175" width="6.875" bestFit="1" customWidth="1"/>
    <col min="4176" max="4176" width="7.875" bestFit="1" customWidth="1"/>
    <col min="4177" max="4177" width="9.25" bestFit="1" customWidth="1"/>
    <col min="4178" max="4178" width="17.875" bestFit="1" customWidth="1"/>
    <col min="4179" max="4179" width="6.875" bestFit="1" customWidth="1"/>
    <col min="4180" max="4180" width="8.875" bestFit="1" customWidth="1"/>
    <col min="4181" max="4183" width="6.875" bestFit="1" customWidth="1"/>
    <col min="4184" max="4184" width="9.25" bestFit="1" customWidth="1"/>
    <col min="4185" max="4185" width="17.875" bestFit="1" customWidth="1"/>
    <col min="4186" max="4186" width="6.875" bestFit="1" customWidth="1"/>
    <col min="4187" max="4187" width="10.25" bestFit="1" customWidth="1"/>
    <col min="4188" max="4190" width="6.875" bestFit="1" customWidth="1"/>
    <col min="4191" max="4191" width="9.25" bestFit="1" customWidth="1"/>
    <col min="4192" max="4192" width="17.875" bestFit="1" customWidth="1"/>
    <col min="4193" max="4193" width="6.875" bestFit="1" customWidth="1"/>
    <col min="4194" max="4194" width="8.875" bestFit="1" customWidth="1"/>
    <col min="4195" max="4197" width="6.875" bestFit="1" customWidth="1"/>
    <col min="4198" max="4198" width="9.25" bestFit="1" customWidth="1"/>
    <col min="4199" max="4199" width="17.875" bestFit="1" customWidth="1"/>
    <col min="4200" max="4200" width="6.875" bestFit="1" customWidth="1"/>
    <col min="4201" max="4201" width="10.25" bestFit="1" customWidth="1"/>
    <col min="4202" max="4204" width="6.875" bestFit="1" customWidth="1"/>
    <col min="4205" max="4205" width="9.25" bestFit="1" customWidth="1"/>
    <col min="4206" max="4206" width="17.875" bestFit="1" customWidth="1"/>
    <col min="4207" max="4207" width="6.875" bestFit="1" customWidth="1"/>
    <col min="4208" max="4208" width="10.25" bestFit="1" customWidth="1"/>
    <col min="4209" max="4211" width="6.875" bestFit="1" customWidth="1"/>
    <col min="4212" max="4212" width="9.25" bestFit="1" customWidth="1"/>
    <col min="4213" max="4213" width="17.875" bestFit="1" customWidth="1"/>
    <col min="4214" max="4214" width="6.875" bestFit="1" customWidth="1"/>
    <col min="4215" max="4215" width="10.25" bestFit="1" customWidth="1"/>
    <col min="4216" max="4218" width="6.875" bestFit="1" customWidth="1"/>
    <col min="4219" max="4219" width="10.25" bestFit="1" customWidth="1"/>
    <col min="4220" max="4220" width="17.875" bestFit="1" customWidth="1"/>
    <col min="4221" max="4221" width="6.875" bestFit="1" customWidth="1"/>
    <col min="4222" max="4222" width="10.25" bestFit="1" customWidth="1"/>
    <col min="4223" max="4225" width="6.875" bestFit="1" customWidth="1"/>
    <col min="4226" max="4226" width="10.25" bestFit="1" customWidth="1"/>
    <col min="4227" max="4227" width="17.875" bestFit="1" customWidth="1"/>
    <col min="4228" max="4228" width="6.875" bestFit="1" customWidth="1"/>
    <col min="4229" max="4229" width="8.875" bestFit="1" customWidth="1"/>
    <col min="4230" max="4232" width="6.875" bestFit="1" customWidth="1"/>
    <col min="4233" max="4234" width="9.25" bestFit="1" customWidth="1"/>
    <col min="4235" max="4235" width="17.875" bestFit="1" customWidth="1"/>
    <col min="4236" max="4236" width="6.875" bestFit="1" customWidth="1"/>
    <col min="4237" max="4237" width="8.875" bestFit="1" customWidth="1"/>
    <col min="4238" max="4240" width="6.875" bestFit="1" customWidth="1"/>
    <col min="4241" max="4241" width="9.25" bestFit="1" customWidth="1"/>
    <col min="4242" max="4242" width="17.875" bestFit="1" customWidth="1"/>
    <col min="4243" max="4243" width="6.875" bestFit="1" customWidth="1"/>
    <col min="4244" max="4244" width="10.25" bestFit="1" customWidth="1"/>
    <col min="4245" max="4247" width="6.875" bestFit="1" customWidth="1"/>
    <col min="4248" max="4248" width="9.25" bestFit="1" customWidth="1"/>
    <col min="4249" max="4249" width="17.875" bestFit="1" customWidth="1"/>
    <col min="4250" max="4250" width="6.875" bestFit="1" customWidth="1"/>
    <col min="4251" max="4251" width="8.875" bestFit="1" customWidth="1"/>
    <col min="4252" max="4254" width="6.875" bestFit="1" customWidth="1"/>
    <col min="4255" max="4255" width="9.25" bestFit="1" customWidth="1"/>
    <col min="4256" max="4256" width="17.875" bestFit="1" customWidth="1"/>
    <col min="4257" max="4257" width="6.875" bestFit="1" customWidth="1"/>
    <col min="4258" max="4258" width="10.25" bestFit="1" customWidth="1"/>
    <col min="4259" max="4261" width="6.875" bestFit="1" customWidth="1"/>
    <col min="4262" max="4262" width="9.25" bestFit="1" customWidth="1"/>
    <col min="4263" max="4263" width="17.875" bestFit="1" customWidth="1"/>
    <col min="4264" max="4264" width="6.875" bestFit="1" customWidth="1"/>
    <col min="4265" max="4265" width="10.25" bestFit="1" customWidth="1"/>
    <col min="4266" max="4268" width="6.875" bestFit="1" customWidth="1"/>
    <col min="4269" max="4269" width="9.25" bestFit="1" customWidth="1"/>
    <col min="4270" max="4270" width="17.875" bestFit="1" customWidth="1"/>
    <col min="4271" max="4271" width="6.875" bestFit="1" customWidth="1"/>
    <col min="4272" max="4272" width="10.25" bestFit="1" customWidth="1"/>
    <col min="4273" max="4275" width="6.875" bestFit="1" customWidth="1"/>
    <col min="4276" max="4276" width="10.25" bestFit="1" customWidth="1"/>
    <col min="4277" max="4277" width="17.875" bestFit="1" customWidth="1"/>
    <col min="4278" max="4278" width="6.875" bestFit="1" customWidth="1"/>
    <col min="4279" max="4279" width="10.25" bestFit="1" customWidth="1"/>
    <col min="4280" max="4282" width="6.875" bestFit="1" customWidth="1"/>
    <col min="4283" max="4283" width="10.25" bestFit="1" customWidth="1"/>
    <col min="4284" max="4284" width="17.875" bestFit="1" customWidth="1"/>
    <col min="4285" max="4285" width="6.875" bestFit="1" customWidth="1"/>
    <col min="4286" max="4286" width="8.875" bestFit="1" customWidth="1"/>
    <col min="4287" max="4289" width="6.875" bestFit="1" customWidth="1"/>
    <col min="4290" max="4291" width="9.25" bestFit="1" customWidth="1"/>
    <col min="4292" max="4292" width="17.875" bestFit="1" customWidth="1"/>
    <col min="4293" max="4293" width="6.875" bestFit="1" customWidth="1"/>
    <col min="4294" max="4294" width="8.875" bestFit="1" customWidth="1"/>
    <col min="4295" max="4297" width="6.875" bestFit="1" customWidth="1"/>
    <col min="4298" max="4298" width="9.25" bestFit="1" customWidth="1"/>
    <col min="4299" max="4299" width="17.875" bestFit="1" customWidth="1"/>
    <col min="4300" max="4300" width="6.875" bestFit="1" customWidth="1"/>
    <col min="4301" max="4301" width="10.25" bestFit="1" customWidth="1"/>
    <col min="4302" max="4304" width="6.875" bestFit="1" customWidth="1"/>
    <col min="4305" max="4305" width="9.25" bestFit="1" customWidth="1"/>
    <col min="4306" max="4306" width="17.875" bestFit="1" customWidth="1"/>
    <col min="4307" max="4307" width="6.875" bestFit="1" customWidth="1"/>
    <col min="4308" max="4308" width="8.875" bestFit="1" customWidth="1"/>
    <col min="4309" max="4311" width="6.875" bestFit="1" customWidth="1"/>
    <col min="4312" max="4312" width="9.25" bestFit="1" customWidth="1"/>
    <col min="4313" max="4313" width="17.875" bestFit="1" customWidth="1"/>
    <col min="4314" max="4314" width="6.875" bestFit="1" customWidth="1"/>
    <col min="4315" max="4315" width="10.25" bestFit="1" customWidth="1"/>
    <col min="4316" max="4318" width="6.875" bestFit="1" customWidth="1"/>
    <col min="4319" max="4319" width="9.25" bestFit="1" customWidth="1"/>
    <col min="4320" max="4320" width="17.875" bestFit="1" customWidth="1"/>
    <col min="4321" max="4321" width="6.875" bestFit="1" customWidth="1"/>
    <col min="4322" max="4322" width="10.25" bestFit="1" customWidth="1"/>
    <col min="4323" max="4325" width="6.875" bestFit="1" customWidth="1"/>
    <col min="4326" max="4326" width="9.25" bestFit="1" customWidth="1"/>
    <col min="4327" max="4327" width="17.875" bestFit="1" customWidth="1"/>
    <col min="4328" max="4328" width="6.875" bestFit="1" customWidth="1"/>
    <col min="4329" max="4329" width="10.25" bestFit="1" customWidth="1"/>
    <col min="4330" max="4332" width="6.875" bestFit="1" customWidth="1"/>
    <col min="4333" max="4333" width="10.25" bestFit="1" customWidth="1"/>
    <col min="4334" max="4334" width="17.875" bestFit="1" customWidth="1"/>
    <col min="4335" max="4335" width="6.875" bestFit="1" customWidth="1"/>
    <col min="4336" max="4336" width="10.25" bestFit="1" customWidth="1"/>
    <col min="4337" max="4339" width="6.875" bestFit="1" customWidth="1"/>
    <col min="4340" max="4340" width="10.25" bestFit="1" customWidth="1"/>
    <col min="4341" max="4341" width="17.875" bestFit="1" customWidth="1"/>
    <col min="4342" max="4342" width="6.875" bestFit="1" customWidth="1"/>
    <col min="4343" max="4343" width="8.875" bestFit="1" customWidth="1"/>
    <col min="4344" max="4346" width="6.875" bestFit="1" customWidth="1"/>
    <col min="4347" max="4348" width="9.25" bestFit="1" customWidth="1"/>
    <col min="4349" max="4349" width="17.875" bestFit="1" customWidth="1"/>
    <col min="4350" max="4350" width="6.875" bestFit="1" customWidth="1"/>
    <col min="4351" max="4351" width="8.875" bestFit="1" customWidth="1"/>
    <col min="4352" max="4354" width="6.875" bestFit="1" customWidth="1"/>
    <col min="4355" max="4355" width="9.25" bestFit="1" customWidth="1"/>
    <col min="4356" max="4356" width="17.875" bestFit="1" customWidth="1"/>
    <col min="4357" max="4357" width="6.875" bestFit="1" customWidth="1"/>
    <col min="4358" max="4358" width="10.25" bestFit="1" customWidth="1"/>
    <col min="4359" max="4361" width="6.875" bestFit="1" customWidth="1"/>
    <col min="4362" max="4362" width="9.25" bestFit="1" customWidth="1"/>
    <col min="4363" max="4363" width="17.875" bestFit="1" customWidth="1"/>
    <col min="4364" max="4364" width="6.875" bestFit="1" customWidth="1"/>
    <col min="4365" max="4365" width="8.875" bestFit="1" customWidth="1"/>
    <col min="4366" max="4368" width="6.875" bestFit="1" customWidth="1"/>
    <col min="4369" max="4369" width="9.25" bestFit="1" customWidth="1"/>
    <col min="4370" max="4370" width="17.875" bestFit="1" customWidth="1"/>
    <col min="4371" max="4371" width="6.875" bestFit="1" customWidth="1"/>
    <col min="4372" max="4372" width="10.25" bestFit="1" customWidth="1"/>
    <col min="4373" max="4375" width="6.875" bestFit="1" customWidth="1"/>
    <col min="4376" max="4376" width="9.25" bestFit="1" customWidth="1"/>
    <col min="4377" max="4377" width="17.875" bestFit="1" customWidth="1"/>
    <col min="4378" max="4378" width="6.875" bestFit="1" customWidth="1"/>
    <col min="4379" max="4379" width="10.25" bestFit="1" customWidth="1"/>
    <col min="4380" max="4382" width="6.875" bestFit="1" customWidth="1"/>
    <col min="4383" max="4383" width="9.25" bestFit="1" customWidth="1"/>
    <col min="4384" max="4384" width="17.875" bestFit="1" customWidth="1"/>
    <col min="4385" max="4385" width="6.875" bestFit="1" customWidth="1"/>
    <col min="4386" max="4386" width="10.25" bestFit="1" customWidth="1"/>
    <col min="4387" max="4389" width="6.875" bestFit="1" customWidth="1"/>
    <col min="4390" max="4390" width="10.25" bestFit="1" customWidth="1"/>
    <col min="4391" max="4391" width="17.875" bestFit="1" customWidth="1"/>
    <col min="4392" max="4392" width="6.875" bestFit="1" customWidth="1"/>
    <col min="4393" max="4393" width="10.25" bestFit="1" customWidth="1"/>
    <col min="4394" max="4396" width="6.875" bestFit="1" customWidth="1"/>
    <col min="4397" max="4397" width="10.25" bestFit="1" customWidth="1"/>
    <col min="4398" max="4398" width="17.875" bestFit="1" customWidth="1"/>
    <col min="4399" max="4399" width="6.875" bestFit="1" customWidth="1"/>
    <col min="4400" max="4400" width="8.875" bestFit="1" customWidth="1"/>
    <col min="4401" max="4403" width="6.875" bestFit="1" customWidth="1"/>
    <col min="4404" max="4405" width="9.25" bestFit="1" customWidth="1"/>
    <col min="4406" max="4406" width="17.875" bestFit="1" customWidth="1"/>
    <col min="4407" max="4407" width="6.875" bestFit="1" customWidth="1"/>
    <col min="4408" max="4408" width="8.875" bestFit="1" customWidth="1"/>
    <col min="4409" max="4411" width="6.875" bestFit="1" customWidth="1"/>
    <col min="4412" max="4412" width="9.25" bestFit="1" customWidth="1"/>
    <col min="4413" max="4413" width="17.875" bestFit="1" customWidth="1"/>
    <col min="4414" max="4414" width="6.875" bestFit="1" customWidth="1"/>
    <col min="4415" max="4415" width="10.25" bestFit="1" customWidth="1"/>
    <col min="4416" max="4418" width="6.875" bestFit="1" customWidth="1"/>
    <col min="4419" max="4419" width="9.25" bestFit="1" customWidth="1"/>
    <col min="4420" max="4420" width="17.875" bestFit="1" customWidth="1"/>
    <col min="4421" max="4421" width="6.875" bestFit="1" customWidth="1"/>
    <col min="4422" max="4422" width="8.875" bestFit="1" customWidth="1"/>
    <col min="4423" max="4425" width="6.875" bestFit="1" customWidth="1"/>
    <col min="4426" max="4426" width="9.25" bestFit="1" customWidth="1"/>
    <col min="4427" max="4427" width="17.875" bestFit="1" customWidth="1"/>
    <col min="4428" max="4428" width="6.875" bestFit="1" customWidth="1"/>
    <col min="4429" max="4429" width="10.25" bestFit="1" customWidth="1"/>
    <col min="4430" max="4432" width="6.875" bestFit="1" customWidth="1"/>
    <col min="4433" max="4433" width="9.25" bestFit="1" customWidth="1"/>
    <col min="4434" max="4434" width="17.875" bestFit="1" customWidth="1"/>
    <col min="4435" max="4435" width="6.875" bestFit="1" customWidth="1"/>
    <col min="4436" max="4436" width="10.25" bestFit="1" customWidth="1"/>
    <col min="4437" max="4439" width="6.875" bestFit="1" customWidth="1"/>
    <col min="4440" max="4440" width="9.25" bestFit="1" customWidth="1"/>
    <col min="4441" max="4441" width="17.875" bestFit="1" customWidth="1"/>
    <col min="4442" max="4442" width="6.875" bestFit="1" customWidth="1"/>
    <col min="4443" max="4443" width="10.25" bestFit="1" customWidth="1"/>
    <col min="4444" max="4446" width="6.875" bestFit="1" customWidth="1"/>
    <col min="4447" max="4447" width="10.25" bestFit="1" customWidth="1"/>
    <col min="4448" max="4448" width="17.875" bestFit="1" customWidth="1"/>
    <col min="4449" max="4449" width="6.875" bestFit="1" customWidth="1"/>
    <col min="4450" max="4450" width="10.25" bestFit="1" customWidth="1"/>
    <col min="4451" max="4453" width="6.875" bestFit="1" customWidth="1"/>
    <col min="4454" max="4454" width="10.25" bestFit="1" customWidth="1"/>
    <col min="4455" max="4455" width="17.875" bestFit="1" customWidth="1"/>
    <col min="4456" max="4456" width="6.875" bestFit="1" customWidth="1"/>
    <col min="4457" max="4457" width="8.875" bestFit="1" customWidth="1"/>
    <col min="4458" max="4460" width="6.875" bestFit="1" customWidth="1"/>
    <col min="4461" max="4461" width="9.25" bestFit="1" customWidth="1"/>
    <col min="4462" max="4462" width="17.875" bestFit="1" customWidth="1"/>
    <col min="4463" max="4463" width="6.875" bestFit="1" customWidth="1"/>
    <col min="4464" max="4464" width="8.875" bestFit="1" customWidth="1"/>
    <col min="4465" max="4467" width="6.875" bestFit="1" customWidth="1"/>
    <col min="4468" max="4468" width="9.25" bestFit="1" customWidth="1"/>
    <col min="4469" max="4470" width="2.5" bestFit="1" customWidth="1"/>
    <col min="4471" max="4471" width="3.5" bestFit="1" customWidth="1"/>
    <col min="4472" max="4473" width="5.875" bestFit="1" customWidth="1"/>
    <col min="4474" max="4474" width="17.875" bestFit="1" customWidth="1"/>
    <col min="4475" max="4475" width="6.875" bestFit="1" customWidth="1"/>
    <col min="4476" max="4476" width="10.25" bestFit="1" customWidth="1"/>
    <col min="4477" max="4479" width="6.875" bestFit="1" customWidth="1"/>
    <col min="4480" max="4480" width="9.25" bestFit="1" customWidth="1"/>
    <col min="4481" max="4483" width="2.5" bestFit="1" customWidth="1"/>
    <col min="4484" max="4484" width="3.5" bestFit="1" customWidth="1"/>
    <col min="4485" max="4486" width="5.875" bestFit="1" customWidth="1"/>
    <col min="4487" max="4487" width="17.875" bestFit="1" customWidth="1"/>
    <col min="4488" max="4488" width="6.875" bestFit="1" customWidth="1"/>
    <col min="4489" max="4489" width="8.875" bestFit="1" customWidth="1"/>
    <col min="4490" max="4492" width="6.875" bestFit="1" customWidth="1"/>
    <col min="4493" max="4493" width="9.25" bestFit="1" customWidth="1"/>
    <col min="4494" max="4496" width="2.5" bestFit="1" customWidth="1"/>
    <col min="4497" max="4497" width="3.5" bestFit="1" customWidth="1"/>
    <col min="4498" max="4499" width="5.875" bestFit="1" customWidth="1"/>
    <col min="4500" max="4500" width="17.875" bestFit="1" customWidth="1"/>
    <col min="4501" max="4501" width="6.875" bestFit="1" customWidth="1"/>
    <col min="4502" max="4502" width="10.25" bestFit="1" customWidth="1"/>
    <col min="4503" max="4505" width="6.875" bestFit="1" customWidth="1"/>
    <col min="4506" max="4506" width="9.25" bestFit="1" customWidth="1"/>
    <col min="4507" max="4509" width="2.5" bestFit="1" customWidth="1"/>
    <col min="4510" max="4510" width="3.5" bestFit="1" customWidth="1"/>
    <col min="4511" max="4512" width="5.875" bestFit="1" customWidth="1"/>
    <col min="4513" max="4513" width="17.875" bestFit="1" customWidth="1"/>
    <col min="4514" max="4514" width="6.875" bestFit="1" customWidth="1"/>
    <col min="4515" max="4515" width="8.875" bestFit="1" customWidth="1"/>
    <col min="4516" max="4518" width="6.875" bestFit="1" customWidth="1"/>
    <col min="4519" max="4519" width="9.25" bestFit="1" customWidth="1"/>
    <col min="4520" max="4522" width="2.5" bestFit="1" customWidth="1"/>
    <col min="4523" max="4523" width="3.5" bestFit="1" customWidth="1"/>
    <col min="4524" max="4525" width="5.875" bestFit="1" customWidth="1"/>
    <col min="4526" max="4526" width="17.875" bestFit="1" customWidth="1"/>
    <col min="4527" max="4527" width="6.875" bestFit="1" customWidth="1"/>
    <col min="4528" max="4528" width="10.25" bestFit="1" customWidth="1"/>
    <col min="4529" max="4531" width="6.875" bestFit="1" customWidth="1"/>
    <col min="4532" max="4532" width="9.25" bestFit="1" customWidth="1"/>
    <col min="4533" max="4535" width="2.5" bestFit="1" customWidth="1"/>
    <col min="4536" max="4536" width="3.5" bestFit="1" customWidth="1"/>
    <col min="4537" max="4538" width="5.875" bestFit="1" customWidth="1"/>
    <col min="4539" max="4539" width="17.875" bestFit="1" customWidth="1"/>
    <col min="4540" max="4540" width="6.875" bestFit="1" customWidth="1"/>
    <col min="4541" max="4541" width="10.25" bestFit="1" customWidth="1"/>
    <col min="4542" max="4544" width="6.875" bestFit="1" customWidth="1"/>
    <col min="4545" max="4545" width="9.25" bestFit="1" customWidth="1"/>
    <col min="4546" max="4548" width="2.5" bestFit="1" customWidth="1"/>
    <col min="4549" max="4549" width="3.5" bestFit="1" customWidth="1"/>
    <col min="4550" max="4551" width="5.875" bestFit="1" customWidth="1"/>
    <col min="4552" max="4552" width="17.875" bestFit="1" customWidth="1"/>
    <col min="4553" max="4553" width="6.875" bestFit="1" customWidth="1"/>
    <col min="4554" max="4554" width="10.25" bestFit="1" customWidth="1"/>
    <col min="4555" max="4557" width="6.875" bestFit="1" customWidth="1"/>
    <col min="4558" max="4558" width="10.25" bestFit="1" customWidth="1"/>
    <col min="4559" max="4561" width="2.5" bestFit="1" customWidth="1"/>
    <col min="4562" max="4562" width="3.5" bestFit="1" customWidth="1"/>
    <col min="4563" max="4564" width="5.875" bestFit="1" customWidth="1"/>
    <col min="4565" max="4565" width="17.875" bestFit="1" customWidth="1"/>
    <col min="4566" max="4566" width="6.875" bestFit="1" customWidth="1"/>
    <col min="4567" max="4567" width="10.25" bestFit="1" customWidth="1"/>
    <col min="4568" max="4570" width="6.875" bestFit="1" customWidth="1"/>
    <col min="4571" max="4571" width="10.25" bestFit="1" customWidth="1"/>
    <col min="4572" max="4574" width="2.5" bestFit="1" customWidth="1"/>
    <col min="4575" max="4575" width="3.5" bestFit="1" customWidth="1"/>
    <col min="4576" max="4577" width="5.875" bestFit="1" customWidth="1"/>
    <col min="4578" max="4578" width="17.875" bestFit="1" customWidth="1"/>
    <col min="4579" max="4579" width="6.875" bestFit="1" customWidth="1"/>
    <col min="4580" max="4580" width="8.875" bestFit="1" customWidth="1"/>
    <col min="4581" max="4583" width="6.875" bestFit="1" customWidth="1"/>
    <col min="4584" max="4584" width="9.25" bestFit="1" customWidth="1"/>
    <col min="4585" max="4587" width="2.5" bestFit="1" customWidth="1"/>
    <col min="4588" max="4588" width="3.5" bestFit="1" customWidth="1"/>
    <col min="4589" max="4590" width="5.875" bestFit="1" customWidth="1"/>
    <col min="4591" max="4591" width="9.25" bestFit="1" customWidth="1"/>
    <col min="4592" max="4592" width="17.875" bestFit="1" customWidth="1"/>
    <col min="4593" max="4593" width="6.875" bestFit="1" customWidth="1"/>
    <col min="4594" max="4594" width="8.875" bestFit="1" customWidth="1"/>
    <col min="4595" max="4597" width="6.875" bestFit="1" customWidth="1"/>
    <col min="4598" max="4598" width="9.25" bestFit="1" customWidth="1"/>
    <col min="4599" max="4599" width="17.875" bestFit="1" customWidth="1"/>
    <col min="4600" max="4600" width="6.875" bestFit="1" customWidth="1"/>
    <col min="4601" max="4601" width="10.25" bestFit="1" customWidth="1"/>
    <col min="4602" max="4604" width="6.875" bestFit="1" customWidth="1"/>
    <col min="4605" max="4605" width="9.25" bestFit="1" customWidth="1"/>
    <col min="4606" max="4606" width="17.875" bestFit="1" customWidth="1"/>
    <col min="4607" max="4607" width="6.875" bestFit="1" customWidth="1"/>
    <col min="4608" max="4608" width="8.875" bestFit="1" customWidth="1"/>
    <col min="4609" max="4611" width="6.875" bestFit="1" customWidth="1"/>
    <col min="4612" max="4612" width="9.25" bestFit="1" customWidth="1"/>
    <col min="4613" max="4613" width="17.875" bestFit="1" customWidth="1"/>
    <col min="4614" max="4614" width="6.875" bestFit="1" customWidth="1"/>
    <col min="4615" max="4615" width="10.25" bestFit="1" customWidth="1"/>
    <col min="4616" max="4618" width="6.875" bestFit="1" customWidth="1"/>
    <col min="4619" max="4619" width="9.25" bestFit="1" customWidth="1"/>
    <col min="4620" max="4620" width="17.875" bestFit="1" customWidth="1"/>
    <col min="4621" max="4621" width="6.875" bestFit="1" customWidth="1"/>
    <col min="4622" max="4622" width="10.25" bestFit="1" customWidth="1"/>
    <col min="4623" max="4625" width="6.875" bestFit="1" customWidth="1"/>
    <col min="4626" max="4626" width="9.25" bestFit="1" customWidth="1"/>
    <col min="4627" max="4627" width="17.875" bestFit="1" customWidth="1"/>
    <col min="4628" max="4628" width="6.875" bestFit="1" customWidth="1"/>
    <col min="4629" max="4629" width="10.25" bestFit="1" customWidth="1"/>
    <col min="4630" max="4632" width="6.875" bestFit="1" customWidth="1"/>
    <col min="4633" max="4633" width="10.25" bestFit="1" customWidth="1"/>
    <col min="4634" max="4634" width="17.875" bestFit="1" customWidth="1"/>
    <col min="4635" max="4635" width="6.875" bestFit="1" customWidth="1"/>
    <col min="4636" max="4636" width="10.25" bestFit="1" customWidth="1"/>
    <col min="4637" max="4639" width="6.875" bestFit="1" customWidth="1"/>
    <col min="4640" max="4640" width="10.25" bestFit="1" customWidth="1"/>
    <col min="4641" max="4641" width="17.875" bestFit="1" customWidth="1"/>
    <col min="4642" max="4642" width="6.875" bestFit="1" customWidth="1"/>
    <col min="4643" max="4643" width="8.875" bestFit="1" customWidth="1"/>
    <col min="4644" max="4646" width="6.875" bestFit="1" customWidth="1"/>
    <col min="4647" max="4648" width="9.25" bestFit="1" customWidth="1"/>
    <col min="4649" max="4649" width="17.875" bestFit="1" customWidth="1"/>
    <col min="4650" max="4650" width="6.875" bestFit="1" customWidth="1"/>
    <col min="4651" max="4651" width="8.875" bestFit="1" customWidth="1"/>
    <col min="4652" max="4654" width="6.875" bestFit="1" customWidth="1"/>
    <col min="4655" max="4655" width="9.25" bestFit="1" customWidth="1"/>
    <col min="4656" max="4656" width="17.875" bestFit="1" customWidth="1"/>
    <col min="4657" max="4657" width="6.875" bestFit="1" customWidth="1"/>
    <col min="4658" max="4658" width="10.25" bestFit="1" customWidth="1"/>
    <col min="4659" max="4661" width="6.875" bestFit="1" customWidth="1"/>
    <col min="4662" max="4662" width="9.25" bestFit="1" customWidth="1"/>
    <col min="4663" max="4663" width="17.875" bestFit="1" customWidth="1"/>
    <col min="4664" max="4664" width="6.875" bestFit="1" customWidth="1"/>
    <col min="4665" max="4665" width="8.875" bestFit="1" customWidth="1"/>
    <col min="4666" max="4668" width="6.875" bestFit="1" customWidth="1"/>
    <col min="4669" max="4669" width="9.25" bestFit="1" customWidth="1"/>
    <col min="4670" max="4670" width="17.875" bestFit="1" customWidth="1"/>
    <col min="4671" max="4671" width="6.875" bestFit="1" customWidth="1"/>
    <col min="4672" max="4672" width="10.25" bestFit="1" customWidth="1"/>
    <col min="4673" max="4675" width="6.875" bestFit="1" customWidth="1"/>
    <col min="4676" max="4676" width="9.25" bestFit="1" customWidth="1"/>
    <col min="4677" max="4677" width="17.875" bestFit="1" customWidth="1"/>
    <col min="4678" max="4678" width="6.875" bestFit="1" customWidth="1"/>
    <col min="4679" max="4679" width="10.25" bestFit="1" customWidth="1"/>
    <col min="4680" max="4682" width="6.875" bestFit="1" customWidth="1"/>
    <col min="4683" max="4683" width="9.25" bestFit="1" customWidth="1"/>
    <col min="4684" max="4684" width="17.875" bestFit="1" customWidth="1"/>
    <col min="4685" max="4685" width="6.875" bestFit="1" customWidth="1"/>
    <col min="4686" max="4686" width="10.25" bestFit="1" customWidth="1"/>
    <col min="4687" max="4689" width="6.875" bestFit="1" customWidth="1"/>
    <col min="4690" max="4690" width="10.25" bestFit="1" customWidth="1"/>
    <col min="4691" max="4691" width="17.875" bestFit="1" customWidth="1"/>
    <col min="4692" max="4692" width="6.875" bestFit="1" customWidth="1"/>
    <col min="4693" max="4693" width="10.25" bestFit="1" customWidth="1"/>
    <col min="4694" max="4696" width="6.875" bestFit="1" customWidth="1"/>
    <col min="4697" max="4697" width="10.25" bestFit="1" customWidth="1"/>
    <col min="4698" max="4698" width="17.875" bestFit="1" customWidth="1"/>
    <col min="4699" max="4699" width="6.875" bestFit="1" customWidth="1"/>
    <col min="4700" max="4700" width="8.875" bestFit="1" customWidth="1"/>
    <col min="4701" max="4703" width="6.875" bestFit="1" customWidth="1"/>
    <col min="4704" max="4705" width="9.25" bestFit="1" customWidth="1"/>
    <col min="4706" max="4706" width="17.875" bestFit="1" customWidth="1"/>
    <col min="4707" max="4707" width="6.875" bestFit="1" customWidth="1"/>
    <col min="4708" max="4708" width="8.875" bestFit="1" customWidth="1"/>
    <col min="4709" max="4711" width="6.875" bestFit="1" customWidth="1"/>
    <col min="4712" max="4712" width="9.25" bestFit="1" customWidth="1"/>
    <col min="4713" max="4713" width="17.875" bestFit="1" customWidth="1"/>
    <col min="4714" max="4714" width="6.875" bestFit="1" customWidth="1"/>
    <col min="4715" max="4715" width="10.25" bestFit="1" customWidth="1"/>
    <col min="4716" max="4718" width="6.875" bestFit="1" customWidth="1"/>
    <col min="4719" max="4719" width="9.25" bestFit="1" customWidth="1"/>
    <col min="4720" max="4720" width="17.875" bestFit="1" customWidth="1"/>
    <col min="4721" max="4721" width="6.875" bestFit="1" customWidth="1"/>
    <col min="4722" max="4722" width="8.875" bestFit="1" customWidth="1"/>
    <col min="4723" max="4725" width="6.875" bestFit="1" customWidth="1"/>
    <col min="4726" max="4726" width="9.25" bestFit="1" customWidth="1"/>
    <col min="4727" max="4727" width="17.875" bestFit="1" customWidth="1"/>
    <col min="4728" max="4728" width="6.875" bestFit="1" customWidth="1"/>
    <col min="4729" max="4729" width="10.25" bestFit="1" customWidth="1"/>
    <col min="4730" max="4732" width="6.875" bestFit="1" customWidth="1"/>
    <col min="4733" max="4733" width="9.25" bestFit="1" customWidth="1"/>
    <col min="4734" max="4734" width="17.875" bestFit="1" customWidth="1"/>
    <col min="4735" max="4735" width="6.875" bestFit="1" customWidth="1"/>
    <col min="4736" max="4736" width="10.25" bestFit="1" customWidth="1"/>
    <col min="4737" max="4739" width="6.875" bestFit="1" customWidth="1"/>
    <col min="4740" max="4740" width="9.25" bestFit="1" customWidth="1"/>
    <col min="4741" max="4741" width="17.875" bestFit="1" customWidth="1"/>
    <col min="4742" max="4742" width="6.875" bestFit="1" customWidth="1"/>
    <col min="4743" max="4743" width="10.25" bestFit="1" customWidth="1"/>
    <col min="4744" max="4746" width="6.875" bestFit="1" customWidth="1"/>
    <col min="4747" max="4747" width="10.25" bestFit="1" customWidth="1"/>
    <col min="4748" max="4748" width="17.875" bestFit="1" customWidth="1"/>
    <col min="4749" max="4749" width="6.875" bestFit="1" customWidth="1"/>
    <col min="4750" max="4750" width="10.25" bestFit="1" customWidth="1"/>
    <col min="4751" max="4753" width="6.875" bestFit="1" customWidth="1"/>
    <col min="4754" max="4754" width="10.25" bestFit="1" customWidth="1"/>
    <col min="4755" max="4755" width="17.875" bestFit="1" customWidth="1"/>
    <col min="4756" max="4756" width="6.875" bestFit="1" customWidth="1"/>
    <col min="4757" max="4757" width="8.875" bestFit="1" customWidth="1"/>
    <col min="4758" max="4760" width="6.875" bestFit="1" customWidth="1"/>
    <col min="4761" max="4762" width="9.25" bestFit="1" customWidth="1"/>
    <col min="4763" max="4763" width="17.875" bestFit="1" customWidth="1"/>
    <col min="4764" max="4764" width="6.875" bestFit="1" customWidth="1"/>
    <col min="4765" max="4765" width="8.875" bestFit="1" customWidth="1"/>
    <col min="4766" max="4768" width="6.875" bestFit="1" customWidth="1"/>
    <col min="4769" max="4769" width="9.25" bestFit="1" customWidth="1"/>
    <col min="4770" max="4770" width="17.875" bestFit="1" customWidth="1"/>
    <col min="4771" max="4771" width="6.875" bestFit="1" customWidth="1"/>
    <col min="4772" max="4772" width="10.25" bestFit="1" customWidth="1"/>
    <col min="4773" max="4775" width="6.875" bestFit="1" customWidth="1"/>
    <col min="4776" max="4776" width="9.25" bestFit="1" customWidth="1"/>
    <col min="4777" max="4777" width="17.875" bestFit="1" customWidth="1"/>
    <col min="4778" max="4778" width="6.875" bestFit="1" customWidth="1"/>
    <col min="4779" max="4779" width="8.875" bestFit="1" customWidth="1"/>
    <col min="4780" max="4782" width="6.875" bestFit="1" customWidth="1"/>
    <col min="4783" max="4783" width="9.25" bestFit="1" customWidth="1"/>
    <col min="4784" max="4784" width="17.875" bestFit="1" customWidth="1"/>
    <col min="4785" max="4785" width="6.875" bestFit="1" customWidth="1"/>
    <col min="4786" max="4786" width="10.25" bestFit="1" customWidth="1"/>
    <col min="4787" max="4789" width="6.875" bestFit="1" customWidth="1"/>
    <col min="4790" max="4790" width="9.25" bestFit="1" customWidth="1"/>
    <col min="4791" max="4791" width="17.875" bestFit="1" customWidth="1"/>
    <col min="4792" max="4792" width="6.875" bestFit="1" customWidth="1"/>
    <col min="4793" max="4793" width="10.25" bestFit="1" customWidth="1"/>
    <col min="4794" max="4796" width="6.875" bestFit="1" customWidth="1"/>
    <col min="4797" max="4797" width="9.25" bestFit="1" customWidth="1"/>
    <col min="4798" max="4798" width="17.875" bestFit="1" customWidth="1"/>
    <col min="4799" max="4799" width="6.875" bestFit="1" customWidth="1"/>
    <col min="4800" max="4800" width="10.25" bestFit="1" customWidth="1"/>
    <col min="4801" max="4803" width="6.875" bestFit="1" customWidth="1"/>
    <col min="4804" max="4804" width="10.25" bestFit="1" customWidth="1"/>
    <col min="4805" max="4805" width="17.875" bestFit="1" customWidth="1"/>
    <col min="4806" max="4806" width="6.875" bestFit="1" customWidth="1"/>
    <col min="4807" max="4807" width="10.25" bestFit="1" customWidth="1"/>
    <col min="4808" max="4810" width="6.875" bestFit="1" customWidth="1"/>
    <col min="4811" max="4811" width="10.25" bestFit="1" customWidth="1"/>
    <col min="4812" max="4812" width="17.875" bestFit="1" customWidth="1"/>
    <col min="4813" max="4813" width="6.875" bestFit="1" customWidth="1"/>
    <col min="4814" max="4814" width="8.875" bestFit="1" customWidth="1"/>
    <col min="4815" max="4817" width="6.875" bestFit="1" customWidth="1"/>
    <col min="4818" max="4819" width="9.25" bestFit="1" customWidth="1"/>
    <col min="4820" max="4820" width="17.875" bestFit="1" customWidth="1"/>
    <col min="4821" max="4821" width="6.875" bestFit="1" customWidth="1"/>
    <col min="4822" max="4822" width="8.875" bestFit="1" customWidth="1"/>
    <col min="4823" max="4825" width="6.875" bestFit="1" customWidth="1"/>
    <col min="4826" max="4826" width="9.25" bestFit="1" customWidth="1"/>
    <col min="4827" max="4827" width="17.875" bestFit="1" customWidth="1"/>
    <col min="4828" max="4828" width="6.875" bestFit="1" customWidth="1"/>
    <col min="4829" max="4829" width="10.25" bestFit="1" customWidth="1"/>
    <col min="4830" max="4832" width="6.875" bestFit="1" customWidth="1"/>
    <col min="4833" max="4833" width="9.25" bestFit="1" customWidth="1"/>
    <col min="4834" max="4834" width="17.875" bestFit="1" customWidth="1"/>
    <col min="4835" max="4835" width="6.875" bestFit="1" customWidth="1"/>
    <col min="4836" max="4836" width="8.875" bestFit="1" customWidth="1"/>
    <col min="4837" max="4839" width="6.875" bestFit="1" customWidth="1"/>
    <col min="4840" max="4840" width="9.25" bestFit="1" customWidth="1"/>
    <col min="4841" max="4841" width="17.875" bestFit="1" customWidth="1"/>
    <col min="4842" max="4842" width="6.875" bestFit="1" customWidth="1"/>
    <col min="4843" max="4843" width="10.25" bestFit="1" customWidth="1"/>
    <col min="4844" max="4846" width="6.875" bestFit="1" customWidth="1"/>
    <col min="4847" max="4847" width="9.25" bestFit="1" customWidth="1"/>
    <col min="4848" max="4848" width="17.875" bestFit="1" customWidth="1"/>
    <col min="4849" max="4849" width="6.875" bestFit="1" customWidth="1"/>
    <col min="4850" max="4850" width="10.25" bestFit="1" customWidth="1"/>
    <col min="4851" max="4853" width="6.875" bestFit="1" customWidth="1"/>
    <col min="4854" max="4854" width="9.25" bestFit="1" customWidth="1"/>
    <col min="4855" max="4855" width="17.875" bestFit="1" customWidth="1"/>
    <col min="4856" max="4856" width="6.875" bestFit="1" customWidth="1"/>
    <col min="4857" max="4857" width="10.25" bestFit="1" customWidth="1"/>
    <col min="4858" max="4860" width="6.875" bestFit="1" customWidth="1"/>
    <col min="4861" max="4861" width="10.25" bestFit="1" customWidth="1"/>
    <col min="4862" max="4862" width="17.875" bestFit="1" customWidth="1"/>
    <col min="4863" max="4863" width="6.875" bestFit="1" customWidth="1"/>
    <col min="4864" max="4864" width="10.25" bestFit="1" customWidth="1"/>
    <col min="4865" max="4867" width="6.875" bestFit="1" customWidth="1"/>
    <col min="4868" max="4868" width="10.25" bestFit="1" customWidth="1"/>
    <col min="4869" max="4869" width="17.875" bestFit="1" customWidth="1"/>
    <col min="4870" max="4870" width="6.875" bestFit="1" customWidth="1"/>
    <col min="4871" max="4871" width="8.875" bestFit="1" customWidth="1"/>
    <col min="4872" max="4874" width="6.875" bestFit="1" customWidth="1"/>
    <col min="4875" max="4876" width="9.25" bestFit="1" customWidth="1"/>
    <col min="4877" max="4877" width="17.875" bestFit="1" customWidth="1"/>
    <col min="4878" max="4878" width="6.875" bestFit="1" customWidth="1"/>
    <col min="4879" max="4879" width="8.875" bestFit="1" customWidth="1"/>
    <col min="4880" max="4882" width="6.875" bestFit="1" customWidth="1"/>
    <col min="4883" max="4883" width="9.25" bestFit="1" customWidth="1"/>
    <col min="4884" max="4884" width="17.875" bestFit="1" customWidth="1"/>
    <col min="4885" max="4885" width="6.875" bestFit="1" customWidth="1"/>
    <col min="4886" max="4886" width="10.25" bestFit="1" customWidth="1"/>
    <col min="4887" max="4889" width="6.875" bestFit="1" customWidth="1"/>
    <col min="4890" max="4890" width="9.25" bestFit="1" customWidth="1"/>
    <col min="4891" max="4891" width="17.875" bestFit="1" customWidth="1"/>
    <col min="4892" max="4892" width="6.875" bestFit="1" customWidth="1"/>
    <col min="4893" max="4893" width="8.875" bestFit="1" customWidth="1"/>
    <col min="4894" max="4896" width="6.875" bestFit="1" customWidth="1"/>
    <col min="4897" max="4897" width="9.25" bestFit="1" customWidth="1"/>
    <col min="4898" max="4898" width="17.875" bestFit="1" customWidth="1"/>
    <col min="4899" max="4899" width="6.875" bestFit="1" customWidth="1"/>
    <col min="4900" max="4900" width="10.25" bestFit="1" customWidth="1"/>
    <col min="4901" max="4903" width="6.875" bestFit="1" customWidth="1"/>
    <col min="4904" max="4904" width="9.25" bestFit="1" customWidth="1"/>
    <col min="4905" max="4905" width="17.875" bestFit="1" customWidth="1"/>
    <col min="4906" max="4906" width="6.875" bestFit="1" customWidth="1"/>
    <col min="4907" max="4907" width="10.25" bestFit="1" customWidth="1"/>
    <col min="4908" max="4910" width="6.875" bestFit="1" customWidth="1"/>
    <col min="4911" max="4911" width="9.25" bestFit="1" customWidth="1"/>
    <col min="4912" max="4912" width="17.875" bestFit="1" customWidth="1"/>
    <col min="4913" max="4913" width="6.875" bestFit="1" customWidth="1"/>
    <col min="4914" max="4914" width="10.25" bestFit="1" customWidth="1"/>
    <col min="4915" max="4917" width="6.875" bestFit="1" customWidth="1"/>
    <col min="4918" max="4918" width="10.25" bestFit="1" customWidth="1"/>
    <col min="4919" max="4919" width="17.875" bestFit="1" customWidth="1"/>
    <col min="4920" max="4920" width="6.875" bestFit="1" customWidth="1"/>
    <col min="4921" max="4921" width="10.25" bestFit="1" customWidth="1"/>
    <col min="4922" max="4924" width="6.875" bestFit="1" customWidth="1"/>
    <col min="4925" max="4925" width="10.25" bestFit="1" customWidth="1"/>
    <col min="4926" max="4926" width="17.875" bestFit="1" customWidth="1"/>
    <col min="4927" max="4927" width="6.875" bestFit="1" customWidth="1"/>
    <col min="4928" max="4928" width="8.875" bestFit="1" customWidth="1"/>
    <col min="4929" max="4931" width="6.875" bestFit="1" customWidth="1"/>
    <col min="4932" max="4933" width="9.25" bestFit="1" customWidth="1"/>
    <col min="4934" max="4934" width="17.875" bestFit="1" customWidth="1"/>
    <col min="4935" max="4935" width="6.875" bestFit="1" customWidth="1"/>
    <col min="4936" max="4936" width="8.875" bestFit="1" customWidth="1"/>
    <col min="4937" max="4939" width="6.875" bestFit="1" customWidth="1"/>
    <col min="4940" max="4940" width="9.25" bestFit="1" customWidth="1"/>
    <col min="4941" max="4941" width="17.875" bestFit="1" customWidth="1"/>
    <col min="4942" max="4942" width="6.875" bestFit="1" customWidth="1"/>
    <col min="4943" max="4943" width="10.25" bestFit="1" customWidth="1"/>
    <col min="4944" max="4946" width="6.875" bestFit="1" customWidth="1"/>
    <col min="4947" max="4947" width="9.25" bestFit="1" customWidth="1"/>
    <col min="4948" max="4948" width="17.875" bestFit="1" customWidth="1"/>
    <col min="4949" max="4949" width="6.875" bestFit="1" customWidth="1"/>
    <col min="4950" max="4950" width="8.875" bestFit="1" customWidth="1"/>
    <col min="4951" max="4953" width="6.875" bestFit="1" customWidth="1"/>
    <col min="4954" max="4954" width="9.25" bestFit="1" customWidth="1"/>
    <col min="4955" max="4955" width="17.875" bestFit="1" customWidth="1"/>
    <col min="4956" max="4956" width="6.875" bestFit="1" customWidth="1"/>
    <col min="4957" max="4957" width="10.25" bestFit="1" customWidth="1"/>
    <col min="4958" max="4960" width="6.875" bestFit="1" customWidth="1"/>
    <col min="4961" max="4961" width="9.25" bestFit="1" customWidth="1"/>
    <col min="4962" max="4962" width="17.875" bestFit="1" customWidth="1"/>
    <col min="4963" max="4963" width="6.875" bestFit="1" customWidth="1"/>
    <col min="4964" max="4964" width="10.25" bestFit="1" customWidth="1"/>
    <col min="4965" max="4967" width="6.875" bestFit="1" customWidth="1"/>
    <col min="4968" max="4968" width="9.25" bestFit="1" customWidth="1"/>
    <col min="4969" max="4969" width="17.875" bestFit="1" customWidth="1"/>
    <col min="4970" max="4970" width="6.875" bestFit="1" customWidth="1"/>
    <col min="4971" max="4971" width="10.25" bestFit="1" customWidth="1"/>
    <col min="4972" max="4974" width="6.875" bestFit="1" customWidth="1"/>
    <col min="4975" max="4975" width="10.25" bestFit="1" customWidth="1"/>
    <col min="4976" max="4976" width="17.875" bestFit="1" customWidth="1"/>
    <col min="4977" max="4977" width="6.875" bestFit="1" customWidth="1"/>
    <col min="4978" max="4978" width="10.25" bestFit="1" customWidth="1"/>
    <col min="4979" max="4981" width="6.875" bestFit="1" customWidth="1"/>
    <col min="4982" max="4982" width="10.25" bestFit="1" customWidth="1"/>
    <col min="4983" max="4983" width="17.875" bestFit="1" customWidth="1"/>
    <col min="4984" max="4984" width="6.875" bestFit="1" customWidth="1"/>
    <col min="4985" max="4985" width="8.875" bestFit="1" customWidth="1"/>
    <col min="4986" max="4988" width="6.875" bestFit="1" customWidth="1"/>
    <col min="4989" max="4990" width="9.25" bestFit="1" customWidth="1"/>
    <col min="4991" max="4991" width="17.875" bestFit="1" customWidth="1"/>
    <col min="4992" max="4992" width="6.875" bestFit="1" customWidth="1"/>
    <col min="4993" max="4993" width="8.875" bestFit="1" customWidth="1"/>
    <col min="4994" max="4996" width="6.875" bestFit="1" customWidth="1"/>
    <col min="4997" max="4997" width="9.25" bestFit="1" customWidth="1"/>
    <col min="4998" max="4998" width="17.875" bestFit="1" customWidth="1"/>
    <col min="4999" max="4999" width="6.875" bestFit="1" customWidth="1"/>
    <col min="5000" max="5000" width="10.25" bestFit="1" customWidth="1"/>
    <col min="5001" max="5003" width="6.875" bestFit="1" customWidth="1"/>
    <col min="5004" max="5004" width="9.25" bestFit="1" customWidth="1"/>
    <col min="5005" max="5005" width="17.875" bestFit="1" customWidth="1"/>
    <col min="5006" max="5006" width="6.875" bestFit="1" customWidth="1"/>
    <col min="5007" max="5007" width="8.875" bestFit="1" customWidth="1"/>
    <col min="5008" max="5010" width="6.875" bestFit="1" customWidth="1"/>
    <col min="5011" max="5011" width="9.25" bestFit="1" customWidth="1"/>
    <col min="5012" max="5012" width="17.875" bestFit="1" customWidth="1"/>
    <col min="5013" max="5013" width="6.875" bestFit="1" customWidth="1"/>
    <col min="5014" max="5014" width="10.25" bestFit="1" customWidth="1"/>
    <col min="5015" max="5017" width="6.875" bestFit="1" customWidth="1"/>
    <col min="5018" max="5018" width="9.25" bestFit="1" customWidth="1"/>
    <col min="5019" max="5019" width="17.875" bestFit="1" customWidth="1"/>
    <col min="5020" max="5020" width="6.875" bestFit="1" customWidth="1"/>
    <col min="5021" max="5021" width="10.25" bestFit="1" customWidth="1"/>
    <col min="5022" max="5024" width="6.875" bestFit="1" customWidth="1"/>
    <col min="5025" max="5025" width="9.25" bestFit="1" customWidth="1"/>
    <col min="5026" max="5026" width="17.875" bestFit="1" customWidth="1"/>
    <col min="5027" max="5027" width="6.875" bestFit="1" customWidth="1"/>
    <col min="5028" max="5028" width="10.25" bestFit="1" customWidth="1"/>
    <col min="5029" max="5031" width="6.875" bestFit="1" customWidth="1"/>
    <col min="5032" max="5032" width="10.25" bestFit="1" customWidth="1"/>
    <col min="5033" max="5033" width="17.875" bestFit="1" customWidth="1"/>
    <col min="5034" max="5034" width="6.875" bestFit="1" customWidth="1"/>
    <col min="5035" max="5035" width="10.25" bestFit="1" customWidth="1"/>
    <col min="5036" max="5038" width="6.875" bestFit="1" customWidth="1"/>
    <col min="5039" max="5039" width="10.25" bestFit="1" customWidth="1"/>
    <col min="5040" max="5040" width="17.875" bestFit="1" customWidth="1"/>
    <col min="5041" max="5041" width="6.875" bestFit="1" customWidth="1"/>
    <col min="5042" max="5042" width="8.875" bestFit="1" customWidth="1"/>
    <col min="5043" max="5045" width="6.875" bestFit="1" customWidth="1"/>
    <col min="5046" max="5047" width="9.25" bestFit="1" customWidth="1"/>
    <col min="5048" max="5048" width="17.875" bestFit="1" customWidth="1"/>
    <col min="5049" max="5049" width="6.875" bestFit="1" customWidth="1"/>
    <col min="5050" max="5050" width="8.875" bestFit="1" customWidth="1"/>
    <col min="5051" max="5053" width="6.875" bestFit="1" customWidth="1"/>
    <col min="5054" max="5054" width="9.25" bestFit="1" customWidth="1"/>
    <col min="5055" max="5055" width="17.875" bestFit="1" customWidth="1"/>
    <col min="5056" max="5056" width="6.875" bestFit="1" customWidth="1"/>
    <col min="5057" max="5057" width="10.25" bestFit="1" customWidth="1"/>
    <col min="5058" max="5060" width="6.875" bestFit="1" customWidth="1"/>
    <col min="5061" max="5061" width="9.25" bestFit="1" customWidth="1"/>
    <col min="5062" max="5062" width="17.875" bestFit="1" customWidth="1"/>
    <col min="5063" max="5063" width="6.875" bestFit="1" customWidth="1"/>
    <col min="5064" max="5064" width="8.875" bestFit="1" customWidth="1"/>
    <col min="5065" max="5067" width="6.875" bestFit="1" customWidth="1"/>
    <col min="5068" max="5068" width="9.25" bestFit="1" customWidth="1"/>
    <col min="5069" max="5069" width="17.875" bestFit="1" customWidth="1"/>
    <col min="5070" max="5070" width="6.875" bestFit="1" customWidth="1"/>
    <col min="5071" max="5071" width="10.25" bestFit="1" customWidth="1"/>
    <col min="5072" max="5074" width="6.875" bestFit="1" customWidth="1"/>
    <col min="5075" max="5075" width="9.25" bestFit="1" customWidth="1"/>
    <col min="5076" max="5076" width="17.875" bestFit="1" customWidth="1"/>
    <col min="5077" max="5077" width="6.875" bestFit="1" customWidth="1"/>
    <col min="5078" max="5078" width="10.25" bestFit="1" customWidth="1"/>
    <col min="5079" max="5081" width="6.875" bestFit="1" customWidth="1"/>
    <col min="5082" max="5082" width="9.25" bestFit="1" customWidth="1"/>
    <col min="5083" max="5083" width="17.875" bestFit="1" customWidth="1"/>
    <col min="5084" max="5084" width="6.875" bestFit="1" customWidth="1"/>
    <col min="5085" max="5085" width="10.25" bestFit="1" customWidth="1"/>
    <col min="5086" max="5088" width="6.875" bestFit="1" customWidth="1"/>
    <col min="5089" max="5089" width="10.25" bestFit="1" customWidth="1"/>
    <col min="5090" max="5090" width="17.875" bestFit="1" customWidth="1"/>
    <col min="5091" max="5091" width="6.875" bestFit="1" customWidth="1"/>
    <col min="5092" max="5092" width="10.25" bestFit="1" customWidth="1"/>
    <col min="5093" max="5095" width="6.875" bestFit="1" customWidth="1"/>
    <col min="5096" max="5096" width="10.25" bestFit="1" customWidth="1"/>
    <col min="5097" max="5097" width="17.875" bestFit="1" customWidth="1"/>
    <col min="5098" max="5098" width="6.875" bestFit="1" customWidth="1"/>
    <col min="5099" max="5099" width="8.875" bestFit="1" customWidth="1"/>
    <col min="5100" max="5102" width="6.875" bestFit="1" customWidth="1"/>
    <col min="5103" max="5104" width="9.25" bestFit="1" customWidth="1"/>
    <col min="5105" max="5105" width="17.875" bestFit="1" customWidth="1"/>
    <col min="5106" max="5106" width="6.875" bestFit="1" customWidth="1"/>
    <col min="5107" max="5107" width="8.875" bestFit="1" customWidth="1"/>
    <col min="5108" max="5110" width="6.875" bestFit="1" customWidth="1"/>
    <col min="5111" max="5111" width="9.25" bestFit="1" customWidth="1"/>
    <col min="5112" max="5112" width="17.875" bestFit="1" customWidth="1"/>
    <col min="5113" max="5113" width="6.875" bestFit="1" customWidth="1"/>
    <col min="5114" max="5114" width="10.25" bestFit="1" customWidth="1"/>
    <col min="5115" max="5117" width="6.875" bestFit="1" customWidth="1"/>
    <col min="5118" max="5118" width="9.25" bestFit="1" customWidth="1"/>
    <col min="5119" max="5119" width="17.875" bestFit="1" customWidth="1"/>
    <col min="5120" max="5120" width="6.875" bestFit="1" customWidth="1"/>
    <col min="5121" max="5121" width="8.875" bestFit="1" customWidth="1"/>
    <col min="5122" max="5124" width="6.875" bestFit="1" customWidth="1"/>
    <col min="5125" max="5125" width="9.25" bestFit="1" customWidth="1"/>
    <col min="5126" max="5126" width="17.875" bestFit="1" customWidth="1"/>
    <col min="5127" max="5127" width="6.875" bestFit="1" customWidth="1"/>
    <col min="5128" max="5128" width="10.25" bestFit="1" customWidth="1"/>
    <col min="5129" max="5131" width="6.875" bestFit="1" customWidth="1"/>
    <col min="5132" max="5132" width="9.25" bestFit="1" customWidth="1"/>
    <col min="5133" max="5133" width="17.875" bestFit="1" customWidth="1"/>
    <col min="5134" max="5134" width="6.875" bestFit="1" customWidth="1"/>
    <col min="5135" max="5135" width="10.25" bestFit="1" customWidth="1"/>
    <col min="5136" max="5138" width="6.875" bestFit="1" customWidth="1"/>
    <col min="5139" max="5139" width="9.25" bestFit="1" customWidth="1"/>
    <col min="5140" max="5140" width="17.875" bestFit="1" customWidth="1"/>
    <col min="5141" max="5141" width="6.875" bestFit="1" customWidth="1"/>
    <col min="5142" max="5142" width="10.25" bestFit="1" customWidth="1"/>
    <col min="5143" max="5145" width="6.875" bestFit="1" customWidth="1"/>
    <col min="5146" max="5146" width="10.25" bestFit="1" customWidth="1"/>
    <col min="5147" max="5147" width="17.875" bestFit="1" customWidth="1"/>
    <col min="5148" max="5148" width="6.875" bestFit="1" customWidth="1"/>
    <col min="5149" max="5149" width="10.25" bestFit="1" customWidth="1"/>
    <col min="5150" max="5152" width="6.875" bestFit="1" customWidth="1"/>
    <col min="5153" max="5153" width="10.25" bestFit="1" customWidth="1"/>
    <col min="5154" max="5154" width="17.875" bestFit="1" customWidth="1"/>
    <col min="5155" max="5155" width="6.875" bestFit="1" customWidth="1"/>
    <col min="5156" max="5156" width="8.875" bestFit="1" customWidth="1"/>
    <col min="5157" max="5159" width="6.875" bestFit="1" customWidth="1"/>
    <col min="5160" max="5161" width="9.25" bestFit="1" customWidth="1"/>
    <col min="5162" max="5162" width="17.875" bestFit="1" customWidth="1"/>
    <col min="5163" max="5163" width="6.875" bestFit="1" customWidth="1"/>
    <col min="5164" max="5164" width="8.875" bestFit="1" customWidth="1"/>
    <col min="5165" max="5167" width="6.875" bestFit="1" customWidth="1"/>
    <col min="5168" max="5168" width="9.25" bestFit="1" customWidth="1"/>
    <col min="5169" max="5169" width="17.875" bestFit="1" customWidth="1"/>
    <col min="5170" max="5170" width="6.875" bestFit="1" customWidth="1"/>
    <col min="5171" max="5171" width="10.25" bestFit="1" customWidth="1"/>
    <col min="5172" max="5174" width="6.875" bestFit="1" customWidth="1"/>
    <col min="5175" max="5175" width="9.25" bestFit="1" customWidth="1"/>
    <col min="5176" max="5176" width="17.875" bestFit="1" customWidth="1"/>
    <col min="5177" max="5177" width="6.875" bestFit="1" customWidth="1"/>
    <col min="5178" max="5178" width="8.875" bestFit="1" customWidth="1"/>
    <col min="5179" max="5181" width="6.875" bestFit="1" customWidth="1"/>
    <col min="5182" max="5182" width="9.25" bestFit="1" customWidth="1"/>
    <col min="5183" max="5183" width="17.875" bestFit="1" customWidth="1"/>
    <col min="5184" max="5184" width="6.875" bestFit="1" customWidth="1"/>
    <col min="5185" max="5185" width="10.25" bestFit="1" customWidth="1"/>
    <col min="5186" max="5188" width="6.875" bestFit="1" customWidth="1"/>
    <col min="5189" max="5189" width="9.25" bestFit="1" customWidth="1"/>
    <col min="5190" max="5190" width="17.875" bestFit="1" customWidth="1"/>
    <col min="5191" max="5191" width="6.875" bestFit="1" customWidth="1"/>
    <col min="5192" max="5192" width="10.25" bestFit="1" customWidth="1"/>
    <col min="5193" max="5195" width="6.875" bestFit="1" customWidth="1"/>
    <col min="5196" max="5196" width="9.25" bestFit="1" customWidth="1"/>
    <col min="5197" max="5197" width="17.875" bestFit="1" customWidth="1"/>
    <col min="5198" max="5198" width="6.875" bestFit="1" customWidth="1"/>
    <col min="5199" max="5199" width="10.25" bestFit="1" customWidth="1"/>
    <col min="5200" max="5202" width="6.875" bestFit="1" customWidth="1"/>
    <col min="5203" max="5203" width="10.25" bestFit="1" customWidth="1"/>
    <col min="5204" max="5204" width="17.875" bestFit="1" customWidth="1"/>
    <col min="5205" max="5205" width="6.875" bestFit="1" customWidth="1"/>
    <col min="5206" max="5206" width="10.25" bestFit="1" customWidth="1"/>
    <col min="5207" max="5209" width="6.875" bestFit="1" customWidth="1"/>
    <col min="5210" max="5210" width="10.25" bestFit="1" customWidth="1"/>
    <col min="5211" max="5211" width="17.875" bestFit="1" customWidth="1"/>
    <col min="5212" max="5212" width="6.875" bestFit="1" customWidth="1"/>
    <col min="5213" max="5213" width="8.875" bestFit="1" customWidth="1"/>
    <col min="5214" max="5216" width="6.875" bestFit="1" customWidth="1"/>
    <col min="5217" max="5218" width="9.25" bestFit="1" customWidth="1"/>
    <col min="5219" max="5219" width="17.875" bestFit="1" customWidth="1"/>
    <col min="5220" max="5220" width="6.875" bestFit="1" customWidth="1"/>
    <col min="5221" max="5221" width="8.875" bestFit="1" customWidth="1"/>
    <col min="5222" max="5224" width="6.875" bestFit="1" customWidth="1"/>
    <col min="5225" max="5225" width="9.25" bestFit="1" customWidth="1"/>
    <col min="5226" max="5226" width="17.875" bestFit="1" customWidth="1"/>
    <col min="5227" max="5227" width="6.875" bestFit="1" customWidth="1"/>
    <col min="5228" max="5228" width="10.25" bestFit="1" customWidth="1"/>
    <col min="5229" max="5231" width="6.875" bestFit="1" customWidth="1"/>
    <col min="5232" max="5232" width="9.25" bestFit="1" customWidth="1"/>
    <col min="5233" max="5233" width="17.875" bestFit="1" customWidth="1"/>
    <col min="5234" max="5234" width="6.875" bestFit="1" customWidth="1"/>
    <col min="5235" max="5235" width="8.875" bestFit="1" customWidth="1"/>
    <col min="5236" max="5238" width="6.875" bestFit="1" customWidth="1"/>
    <col min="5239" max="5239" width="9.25" bestFit="1" customWidth="1"/>
    <col min="5240" max="5240" width="17.875" bestFit="1" customWidth="1"/>
    <col min="5241" max="5241" width="6.875" bestFit="1" customWidth="1"/>
    <col min="5242" max="5242" width="10.25" bestFit="1" customWidth="1"/>
    <col min="5243" max="5245" width="6.875" bestFit="1" customWidth="1"/>
    <col min="5246" max="5246" width="9.25" bestFit="1" customWidth="1"/>
    <col min="5247" max="5247" width="17.875" bestFit="1" customWidth="1"/>
    <col min="5248" max="5248" width="6.875" bestFit="1" customWidth="1"/>
    <col min="5249" max="5249" width="10.25" bestFit="1" customWidth="1"/>
    <col min="5250" max="5252" width="6.875" bestFit="1" customWidth="1"/>
    <col min="5253" max="5253" width="9.25" bestFit="1" customWidth="1"/>
    <col min="5254" max="5254" width="17.875" bestFit="1" customWidth="1"/>
    <col min="5255" max="5255" width="6.875" bestFit="1" customWidth="1"/>
    <col min="5256" max="5256" width="10.25" bestFit="1" customWidth="1"/>
    <col min="5257" max="5259" width="6.875" bestFit="1" customWidth="1"/>
    <col min="5260" max="5260" width="10.25" bestFit="1" customWidth="1"/>
    <col min="5261" max="5261" width="17.875" bestFit="1" customWidth="1"/>
    <col min="5262" max="5262" width="6.875" bestFit="1" customWidth="1"/>
    <col min="5263" max="5263" width="10.25" bestFit="1" customWidth="1"/>
    <col min="5264" max="5266" width="6.875" bestFit="1" customWidth="1"/>
    <col min="5267" max="5267" width="10.25" bestFit="1" customWidth="1"/>
    <col min="5268" max="5268" width="17.875" bestFit="1" customWidth="1"/>
    <col min="5269" max="5269" width="6.875" bestFit="1" customWidth="1"/>
    <col min="5270" max="5270" width="8.875" bestFit="1" customWidth="1"/>
    <col min="5271" max="5273" width="6.875" bestFit="1" customWidth="1"/>
    <col min="5274" max="5275" width="9.25" bestFit="1" customWidth="1"/>
    <col min="5276" max="5276" width="17.875" bestFit="1" customWidth="1"/>
    <col min="5277" max="5277" width="6.875" bestFit="1" customWidth="1"/>
    <col min="5278" max="5278" width="8.875" bestFit="1" customWidth="1"/>
    <col min="5279" max="5281" width="6.875" bestFit="1" customWidth="1"/>
    <col min="5282" max="5282" width="9.25" bestFit="1" customWidth="1"/>
    <col min="5283" max="5283" width="17.875" bestFit="1" customWidth="1"/>
    <col min="5284" max="5284" width="6.875" bestFit="1" customWidth="1"/>
    <col min="5285" max="5285" width="10.25" bestFit="1" customWidth="1"/>
    <col min="5286" max="5288" width="6.875" bestFit="1" customWidth="1"/>
    <col min="5289" max="5289" width="9.25" bestFit="1" customWidth="1"/>
    <col min="5290" max="5290" width="17.875" bestFit="1" customWidth="1"/>
    <col min="5291" max="5291" width="6.875" bestFit="1" customWidth="1"/>
    <col min="5292" max="5292" width="8.875" bestFit="1" customWidth="1"/>
    <col min="5293" max="5295" width="6.875" bestFit="1" customWidth="1"/>
    <col min="5296" max="5296" width="9.25" bestFit="1" customWidth="1"/>
    <col min="5297" max="5297" width="17.875" bestFit="1" customWidth="1"/>
    <col min="5298" max="5298" width="6.875" bestFit="1" customWidth="1"/>
    <col min="5299" max="5299" width="10.25" bestFit="1" customWidth="1"/>
    <col min="5300" max="5302" width="6.875" bestFit="1" customWidth="1"/>
    <col min="5303" max="5303" width="9.25" bestFit="1" customWidth="1"/>
    <col min="5304" max="5304" width="17.875" bestFit="1" customWidth="1"/>
    <col min="5305" max="5305" width="6.875" bestFit="1" customWidth="1"/>
    <col min="5306" max="5306" width="10.25" bestFit="1" customWidth="1"/>
    <col min="5307" max="5309" width="6.875" bestFit="1" customWidth="1"/>
    <col min="5310" max="5310" width="9.25" bestFit="1" customWidth="1"/>
    <col min="5311" max="5311" width="17.875" bestFit="1" customWidth="1"/>
    <col min="5312" max="5312" width="6.875" bestFit="1" customWidth="1"/>
    <col min="5313" max="5313" width="10.25" bestFit="1" customWidth="1"/>
    <col min="5314" max="5316" width="6.875" bestFit="1" customWidth="1"/>
    <col min="5317" max="5317" width="10.25" bestFit="1" customWidth="1"/>
    <col min="5318" max="5318" width="17.875" bestFit="1" customWidth="1"/>
    <col min="5319" max="5319" width="6.875" bestFit="1" customWidth="1"/>
    <col min="5320" max="5320" width="10.25" bestFit="1" customWidth="1"/>
    <col min="5321" max="5323" width="6.875" bestFit="1" customWidth="1"/>
    <col min="5324" max="5324" width="10.25" bestFit="1" customWidth="1"/>
    <col min="5325" max="5325" width="17.875" bestFit="1" customWidth="1"/>
    <col min="5326" max="5326" width="6.875" bestFit="1" customWidth="1"/>
    <col min="5327" max="5327" width="8.875" bestFit="1" customWidth="1"/>
    <col min="5328" max="5330" width="6.875" bestFit="1" customWidth="1"/>
    <col min="5331" max="5331" width="9.25" bestFit="1" customWidth="1"/>
    <col min="5332" max="5332" width="7.875" bestFit="1" customWidth="1"/>
    <col min="5333" max="5333" width="17.875" bestFit="1" customWidth="1"/>
    <col min="5334" max="5334" width="5.875" bestFit="1" customWidth="1"/>
    <col min="5335" max="5335" width="8.875" bestFit="1" customWidth="1"/>
    <col min="5336" max="5338" width="5.875" bestFit="1" customWidth="1"/>
    <col min="5339" max="5339" width="7.875" bestFit="1" customWidth="1"/>
    <col min="5340" max="5340" width="17.875" bestFit="1" customWidth="1"/>
    <col min="5341" max="5341" width="5.875" bestFit="1" customWidth="1"/>
    <col min="5342" max="5342" width="8.875" bestFit="1" customWidth="1"/>
    <col min="5343" max="5345" width="5.875" bestFit="1" customWidth="1"/>
    <col min="5346" max="5346" width="7.875" bestFit="1" customWidth="1"/>
    <col min="5347" max="5347" width="17.875" bestFit="1" customWidth="1"/>
    <col min="5348" max="5348" width="5.875" bestFit="1" customWidth="1"/>
    <col min="5349" max="5349" width="8.875" bestFit="1" customWidth="1"/>
    <col min="5350" max="5352" width="5.875" bestFit="1" customWidth="1"/>
    <col min="5353" max="5353" width="9.25" bestFit="1" customWidth="1"/>
    <col min="5354" max="5354" width="17.875" bestFit="1" customWidth="1"/>
    <col min="5355" max="5355" width="5.875" bestFit="1" customWidth="1"/>
    <col min="5356" max="5356" width="8.875" bestFit="1" customWidth="1"/>
    <col min="5357" max="5359" width="5.875" bestFit="1" customWidth="1"/>
    <col min="5360" max="5360" width="9.25" bestFit="1" customWidth="1"/>
    <col min="5361" max="5361" width="17.875" bestFit="1" customWidth="1"/>
    <col min="5362" max="5362" width="5.875" bestFit="1" customWidth="1"/>
    <col min="5363" max="5363" width="8.875" bestFit="1" customWidth="1"/>
    <col min="5364" max="5366" width="5.875" bestFit="1" customWidth="1"/>
    <col min="5367" max="5367" width="9.25" bestFit="1" customWidth="1"/>
    <col min="5368" max="5368" width="17.875" bestFit="1" customWidth="1"/>
    <col min="5369" max="5369" width="5.875" bestFit="1" customWidth="1"/>
    <col min="5370" max="5370" width="8.875" bestFit="1" customWidth="1"/>
    <col min="5371" max="5373" width="5.875" bestFit="1" customWidth="1"/>
    <col min="5374" max="5374" width="9.25" bestFit="1" customWidth="1"/>
    <col min="5375" max="5375" width="17.875" bestFit="1" customWidth="1"/>
    <col min="5376" max="5376" width="5.875" bestFit="1" customWidth="1"/>
    <col min="5377" max="5377" width="8.875" bestFit="1" customWidth="1"/>
    <col min="5378" max="5380" width="5.875" bestFit="1" customWidth="1"/>
    <col min="5381" max="5381" width="7.875" bestFit="1" customWidth="1"/>
    <col min="5382" max="5382" width="17.875" bestFit="1" customWidth="1"/>
    <col min="5383" max="5383" width="5.875" bestFit="1" customWidth="1"/>
    <col min="5384" max="5384" width="8.875" bestFit="1" customWidth="1"/>
    <col min="5385" max="5387" width="5.875" bestFit="1" customWidth="1"/>
    <col min="5388" max="5388" width="7.875" bestFit="1" customWidth="1"/>
    <col min="5389" max="5389" width="5.875" bestFit="1" customWidth="1"/>
    <col min="5390" max="5390" width="7.875" bestFit="1" customWidth="1"/>
    <col min="5391" max="5393" width="5.875" bestFit="1" customWidth="1"/>
    <col min="5394" max="5394" width="9.25" bestFit="1" customWidth="1"/>
    <col min="5395" max="5395" width="17.875" bestFit="1" customWidth="1"/>
    <col min="5396" max="5396" width="5.875" bestFit="1" customWidth="1"/>
    <col min="5397" max="5397" width="8.875" bestFit="1" customWidth="1"/>
    <col min="5398" max="5400" width="5.875" bestFit="1" customWidth="1"/>
    <col min="5401" max="5401" width="9.25" bestFit="1" customWidth="1"/>
    <col min="5402" max="5402" width="17.875" bestFit="1" customWidth="1"/>
    <col min="5403" max="5403" width="5.875" bestFit="1" customWidth="1"/>
    <col min="5404" max="5404" width="8.875" bestFit="1" customWidth="1"/>
    <col min="5405" max="5407" width="5.875" bestFit="1" customWidth="1"/>
    <col min="5408" max="5408" width="10.25" bestFit="1" customWidth="1"/>
    <col min="5409" max="5409" width="17.875" bestFit="1" customWidth="1"/>
    <col min="5410" max="5410" width="5.875" bestFit="1" customWidth="1"/>
    <col min="5411" max="5411" width="8.875" bestFit="1" customWidth="1"/>
    <col min="5412" max="5414" width="5.875" bestFit="1" customWidth="1"/>
    <col min="5415" max="5415" width="9.25" bestFit="1" customWidth="1"/>
    <col min="5416" max="5416" width="17.875" bestFit="1" customWidth="1"/>
    <col min="5417" max="5417" width="5.875" bestFit="1" customWidth="1"/>
    <col min="5418" max="5418" width="8.875" bestFit="1" customWidth="1"/>
    <col min="5419" max="5421" width="5.875" bestFit="1" customWidth="1"/>
    <col min="5422" max="5422" width="9.25" bestFit="1" customWidth="1"/>
    <col min="5423" max="5423" width="17.875" bestFit="1" customWidth="1"/>
    <col min="5424" max="5424" width="5.875" bestFit="1" customWidth="1"/>
    <col min="5425" max="5425" width="8.875" bestFit="1" customWidth="1"/>
    <col min="5426" max="5428" width="5.875" bestFit="1" customWidth="1"/>
    <col min="5429" max="5429" width="10.25" bestFit="1" customWidth="1"/>
    <col min="5430" max="5430" width="17.875" bestFit="1" customWidth="1"/>
    <col min="5431" max="5431" width="5.875" bestFit="1" customWidth="1"/>
    <col min="5432" max="5432" width="8.875" bestFit="1" customWidth="1"/>
    <col min="5433" max="5435" width="5.875" bestFit="1" customWidth="1"/>
    <col min="5436" max="5436" width="10.25" bestFit="1" customWidth="1"/>
    <col min="5437" max="5437" width="17.875" bestFit="1" customWidth="1"/>
    <col min="5438" max="5438" width="5.875" bestFit="1" customWidth="1"/>
    <col min="5439" max="5439" width="8.875" bestFit="1" customWidth="1"/>
    <col min="5440" max="5442" width="5.875" bestFit="1" customWidth="1"/>
    <col min="5443" max="5443" width="9.25" bestFit="1" customWidth="1"/>
    <col min="5444" max="5444" width="7.125" bestFit="1" customWidth="1"/>
    <col min="5445" max="5445" width="17.875" bestFit="1" customWidth="1"/>
    <col min="5446" max="5450" width="7.875" bestFit="1" customWidth="1"/>
    <col min="5451" max="5451" width="7.125" bestFit="1" customWidth="1"/>
    <col min="5452" max="5452" width="17.875" bestFit="1" customWidth="1"/>
    <col min="5453" max="5457" width="7.875" bestFit="1" customWidth="1"/>
    <col min="5458" max="5458" width="7.125" bestFit="1" customWidth="1"/>
    <col min="5459" max="5459" width="17.875" bestFit="1" customWidth="1"/>
    <col min="5460" max="5460" width="7.875" bestFit="1" customWidth="1"/>
    <col min="5461" max="5461" width="7.125" bestFit="1" customWidth="1"/>
    <col min="5462" max="5464" width="7.875" bestFit="1" customWidth="1"/>
    <col min="5465" max="5465" width="7.125" bestFit="1" customWidth="1"/>
    <col min="5466" max="5466" width="17.875" bestFit="1" customWidth="1"/>
    <col min="5467" max="5467" width="7.875" bestFit="1" customWidth="1"/>
    <col min="5468" max="5468" width="7.125" bestFit="1" customWidth="1"/>
    <col min="5469" max="5471" width="7.875" bestFit="1" customWidth="1"/>
    <col min="5472" max="5472" width="7.125" bestFit="1" customWidth="1"/>
    <col min="5473" max="5473" width="17.875" bestFit="1" customWidth="1"/>
    <col min="5474" max="5474" width="7.875" bestFit="1" customWidth="1"/>
    <col min="5475" max="5475" width="7.125" bestFit="1" customWidth="1"/>
    <col min="5476" max="5478" width="7.875" bestFit="1" customWidth="1"/>
    <col min="5479" max="5479" width="7.125" bestFit="1" customWidth="1"/>
    <col min="5480" max="5480" width="17.875" bestFit="1" customWidth="1"/>
    <col min="5481" max="5486" width="7.875" bestFit="1" customWidth="1"/>
    <col min="5487" max="5487" width="17.875" bestFit="1" customWidth="1"/>
    <col min="5488" max="5493" width="7.875" bestFit="1" customWidth="1"/>
    <col min="5494" max="5494" width="17.875" bestFit="1" customWidth="1"/>
    <col min="5495" max="5500" width="7.875" bestFit="1" customWidth="1"/>
    <col min="5501" max="5501" width="11.375" bestFit="1" customWidth="1"/>
    <col min="5502" max="5502" width="17.875" bestFit="1" customWidth="1"/>
    <col min="5503" max="5503" width="5.875" bestFit="1" customWidth="1"/>
    <col min="5504" max="5504" width="8.875" bestFit="1" customWidth="1"/>
    <col min="5505" max="5507" width="5.875" bestFit="1" customWidth="1"/>
    <col min="5508" max="5508" width="10.25" bestFit="1" customWidth="1"/>
    <col min="5509" max="5509" width="17.875" bestFit="1" customWidth="1"/>
    <col min="5510" max="5510" width="5.875" bestFit="1" customWidth="1"/>
    <col min="5511" max="5511" width="8.875" bestFit="1" customWidth="1"/>
    <col min="5512" max="5514" width="5.875" bestFit="1" customWidth="1"/>
    <col min="5515" max="5515" width="10.25" bestFit="1" customWidth="1"/>
    <col min="5516" max="5516" width="17.875" bestFit="1" customWidth="1"/>
    <col min="5517" max="5517" width="5.875" bestFit="1" customWidth="1"/>
    <col min="5518" max="5518" width="7.875" bestFit="1" customWidth="1"/>
    <col min="5519" max="5521" width="5.875" bestFit="1" customWidth="1"/>
    <col min="5522" max="5522" width="10.25" bestFit="1" customWidth="1"/>
    <col min="5523" max="5523" width="17.875" bestFit="1" customWidth="1"/>
    <col min="5524" max="5524" width="5.875" bestFit="1" customWidth="1"/>
    <col min="5525" max="5525" width="8.875" bestFit="1" customWidth="1"/>
    <col min="5526" max="5528" width="5.875" bestFit="1" customWidth="1"/>
    <col min="5529" max="5529" width="10.25" bestFit="1" customWidth="1"/>
    <col min="5530" max="5530" width="17.875" bestFit="1" customWidth="1"/>
    <col min="5531" max="5531" width="5.875" bestFit="1" customWidth="1"/>
    <col min="5532" max="5532" width="8.875" bestFit="1" customWidth="1"/>
    <col min="5533" max="5535" width="5.875" bestFit="1" customWidth="1"/>
    <col min="5536" max="5536" width="10.25" bestFit="1" customWidth="1"/>
    <col min="5537" max="5537" width="17.875" bestFit="1" customWidth="1"/>
    <col min="5538" max="5538" width="5.875" bestFit="1" customWidth="1"/>
    <col min="5539" max="5539" width="8.875" bestFit="1" customWidth="1"/>
    <col min="5540" max="5542" width="5.875" bestFit="1" customWidth="1"/>
    <col min="5543" max="5543" width="10.25" bestFit="1" customWidth="1"/>
    <col min="5544" max="5544" width="17.875" bestFit="1" customWidth="1"/>
    <col min="5545" max="5545" width="5.875" bestFit="1" customWidth="1"/>
    <col min="5546" max="5546" width="7.875" bestFit="1" customWidth="1"/>
    <col min="5547" max="5549" width="5.875" bestFit="1" customWidth="1"/>
    <col min="5550" max="5550" width="10.25" bestFit="1" customWidth="1"/>
    <col min="5551" max="5551" width="17.875" bestFit="1" customWidth="1"/>
    <col min="5552" max="5552" width="5.875" bestFit="1" customWidth="1"/>
    <col min="5553" max="5553" width="8.875" bestFit="1" customWidth="1"/>
    <col min="5554" max="5556" width="5.875" bestFit="1" customWidth="1"/>
    <col min="5557" max="5558" width="10.25" bestFit="1" customWidth="1"/>
    <col min="5559" max="5559" width="17.875" bestFit="1" customWidth="1"/>
    <col min="5560" max="5560" width="6.875" bestFit="1" customWidth="1"/>
    <col min="5561" max="5561" width="8.875" bestFit="1" customWidth="1"/>
    <col min="5562" max="5564" width="6.875" bestFit="1" customWidth="1"/>
    <col min="5565" max="5565" width="10.25" bestFit="1" customWidth="1"/>
    <col min="5566" max="5566" width="17.875" bestFit="1" customWidth="1"/>
    <col min="5567" max="5567" width="6.875" bestFit="1" customWidth="1"/>
    <col min="5568" max="5568" width="10.25" bestFit="1" customWidth="1"/>
    <col min="5569" max="5571" width="6.875" bestFit="1" customWidth="1"/>
    <col min="5572" max="5572" width="10.25" bestFit="1" customWidth="1"/>
    <col min="5573" max="5573" width="17.875" bestFit="1" customWidth="1"/>
    <col min="5574" max="5574" width="6.875" bestFit="1" customWidth="1"/>
    <col min="5575" max="5575" width="10.25" bestFit="1" customWidth="1"/>
    <col min="5576" max="5578" width="6.875" bestFit="1" customWidth="1"/>
    <col min="5579" max="5579" width="10.25" bestFit="1" customWidth="1"/>
    <col min="5580" max="5580" width="17.875" bestFit="1" customWidth="1"/>
    <col min="5581" max="5581" width="6.875" bestFit="1" customWidth="1"/>
    <col min="5582" max="5582" width="10.25" bestFit="1" customWidth="1"/>
    <col min="5583" max="5585" width="6.875" bestFit="1" customWidth="1"/>
    <col min="5586" max="5586" width="10.25" bestFit="1" customWidth="1"/>
    <col min="5587" max="5587" width="17.875" bestFit="1" customWidth="1"/>
    <col min="5588" max="5588" width="6.875" bestFit="1" customWidth="1"/>
    <col min="5589" max="5589" width="10.25" bestFit="1" customWidth="1"/>
    <col min="5590" max="5592" width="6.875" bestFit="1" customWidth="1"/>
    <col min="5593" max="5593" width="10.25" bestFit="1" customWidth="1"/>
    <col min="5594" max="5594" width="17.875" bestFit="1" customWidth="1"/>
    <col min="5595" max="5595" width="6.875" bestFit="1" customWidth="1"/>
    <col min="5596" max="5596" width="10.25" bestFit="1" customWidth="1"/>
    <col min="5597" max="5599" width="6.875" bestFit="1" customWidth="1"/>
    <col min="5600" max="5600" width="10.25" bestFit="1" customWidth="1"/>
    <col min="5601" max="5601" width="17.875" bestFit="1" customWidth="1"/>
    <col min="5602" max="5602" width="6.875" bestFit="1" customWidth="1"/>
    <col min="5603" max="5603" width="10.25" bestFit="1" customWidth="1"/>
    <col min="5604" max="5606" width="6.875" bestFit="1" customWidth="1"/>
    <col min="5607" max="5607" width="10.25" bestFit="1" customWidth="1"/>
    <col min="5608" max="5608" width="17.875" bestFit="1" customWidth="1"/>
    <col min="5609" max="5609" width="6.875" bestFit="1" customWidth="1"/>
    <col min="5610" max="5610" width="10.25" bestFit="1" customWidth="1"/>
    <col min="5611" max="5613" width="6.875" bestFit="1" customWidth="1"/>
    <col min="5614" max="5614" width="10.25" bestFit="1" customWidth="1"/>
    <col min="5615" max="5615" width="7.875" bestFit="1" customWidth="1"/>
    <col min="5616" max="5616" width="17.875" bestFit="1" customWidth="1"/>
    <col min="5617" max="5617" width="6.875" bestFit="1" customWidth="1"/>
    <col min="5618" max="5618" width="10.25" bestFit="1" customWidth="1"/>
    <col min="5619" max="5621" width="6.875" bestFit="1" customWidth="1"/>
    <col min="5622" max="5622" width="7.875" bestFit="1" customWidth="1"/>
    <col min="5623" max="5623" width="17.875" bestFit="1" customWidth="1"/>
    <col min="5624" max="5624" width="6.875" bestFit="1" customWidth="1"/>
    <col min="5625" max="5625" width="10.25" bestFit="1" customWidth="1"/>
    <col min="5626" max="5628" width="6.875" bestFit="1" customWidth="1"/>
    <col min="5629" max="5629" width="9.25" bestFit="1" customWidth="1"/>
    <col min="5630" max="5630" width="17.875" bestFit="1" customWidth="1"/>
    <col min="5631" max="5631" width="6.875" bestFit="1" customWidth="1"/>
    <col min="5632" max="5632" width="10.25" bestFit="1" customWidth="1"/>
    <col min="5633" max="5635" width="6.875" bestFit="1" customWidth="1"/>
    <col min="5636" max="5636" width="9.25" bestFit="1" customWidth="1"/>
    <col min="5637" max="5637" width="17.875" bestFit="1" customWidth="1"/>
    <col min="5638" max="5638" width="6.875" bestFit="1" customWidth="1"/>
    <col min="5639" max="5639" width="10.25" bestFit="1" customWidth="1"/>
    <col min="5640" max="5642" width="6.875" bestFit="1" customWidth="1"/>
    <col min="5643" max="5643" width="9.25" bestFit="1" customWidth="1"/>
    <col min="5644" max="5644" width="17.875" bestFit="1" customWidth="1"/>
    <col min="5645" max="5645" width="6.875" bestFit="1" customWidth="1"/>
    <col min="5646" max="5646" width="10.25" bestFit="1" customWidth="1"/>
    <col min="5647" max="5649" width="6.875" bestFit="1" customWidth="1"/>
    <col min="5650" max="5650" width="9.25" bestFit="1" customWidth="1"/>
    <col min="5651" max="5651" width="17.875" bestFit="1" customWidth="1"/>
    <col min="5652" max="5652" width="6.875" bestFit="1" customWidth="1"/>
    <col min="5653" max="5653" width="10.25" bestFit="1" customWidth="1"/>
    <col min="5654" max="5656" width="6.875" bestFit="1" customWidth="1"/>
    <col min="5657" max="5657" width="10.25" bestFit="1" customWidth="1"/>
    <col min="5658" max="5658" width="17.875" bestFit="1" customWidth="1"/>
    <col min="5659" max="5659" width="6.875" bestFit="1" customWidth="1"/>
    <col min="5660" max="5660" width="8.875" bestFit="1" customWidth="1"/>
    <col min="5661" max="5663" width="6.875" bestFit="1" customWidth="1"/>
    <col min="5664" max="5664" width="9.25" bestFit="1" customWidth="1"/>
    <col min="5665" max="5665" width="17.875" bestFit="1" customWidth="1"/>
    <col min="5666" max="5666" width="6.875" bestFit="1" customWidth="1"/>
    <col min="5667" max="5667" width="10.25" bestFit="1" customWidth="1"/>
    <col min="5668" max="5670" width="6.875" bestFit="1" customWidth="1"/>
    <col min="5671" max="5671" width="7.875" bestFit="1" customWidth="1"/>
    <col min="5672" max="5672" width="11.375" bestFit="1" customWidth="1"/>
    <col min="5673" max="5673" width="17.875" bestFit="1" customWidth="1"/>
    <col min="5674" max="5674" width="5.875" bestFit="1" customWidth="1"/>
    <col min="5675" max="5675" width="10.25" bestFit="1" customWidth="1"/>
    <col min="5676" max="5678" width="5.875" bestFit="1" customWidth="1"/>
    <col min="5679" max="5679" width="11.375" bestFit="1" customWidth="1"/>
    <col min="5680" max="5680" width="17.875" bestFit="1" customWidth="1"/>
    <col min="5681" max="5681" width="5.875" bestFit="1" customWidth="1"/>
    <col min="5682" max="5682" width="8.875" bestFit="1" customWidth="1"/>
    <col min="5683" max="5685" width="5.875" bestFit="1" customWidth="1"/>
    <col min="5686" max="5686" width="11.375" bestFit="1" customWidth="1"/>
    <col min="5687" max="5687" width="17.875" bestFit="1" customWidth="1"/>
    <col min="5688" max="5688" width="5.875" bestFit="1" customWidth="1"/>
    <col min="5689" max="5689" width="8.875" bestFit="1" customWidth="1"/>
    <col min="5690" max="5692" width="5.875" bestFit="1" customWidth="1"/>
    <col min="5693" max="5693" width="9.25" bestFit="1" customWidth="1"/>
    <col min="5694" max="5694" width="17.875" bestFit="1" customWidth="1"/>
    <col min="5695" max="5695" width="5.875" bestFit="1" customWidth="1"/>
    <col min="5696" max="5696" width="8.875" bestFit="1" customWidth="1"/>
    <col min="5697" max="5699" width="5.875" bestFit="1" customWidth="1"/>
    <col min="5700" max="5700" width="10.25" bestFit="1" customWidth="1"/>
    <col min="5701" max="5701" width="17.875" bestFit="1" customWidth="1"/>
    <col min="5702" max="5702" width="5.875" bestFit="1" customWidth="1"/>
    <col min="5703" max="5703" width="8.875" bestFit="1" customWidth="1"/>
    <col min="5704" max="5706" width="5.875" bestFit="1" customWidth="1"/>
    <col min="5707" max="5707" width="10.25" bestFit="1" customWidth="1"/>
    <col min="5708" max="5708" width="17.875" bestFit="1" customWidth="1"/>
    <col min="5709" max="5709" width="5.875" bestFit="1" customWidth="1"/>
    <col min="5710" max="5710" width="8.875" bestFit="1" customWidth="1"/>
    <col min="5711" max="5713" width="5.875" bestFit="1" customWidth="1"/>
    <col min="5714" max="5714" width="10.25" bestFit="1" customWidth="1"/>
    <col min="5715" max="5715" width="17.875" bestFit="1" customWidth="1"/>
    <col min="5716" max="5716" width="5.875" bestFit="1" customWidth="1"/>
    <col min="5717" max="5717" width="7.875" bestFit="1" customWidth="1"/>
    <col min="5718" max="5720" width="5.875" bestFit="1" customWidth="1"/>
    <col min="5721" max="5721" width="9.25" bestFit="1" customWidth="1"/>
    <col min="5722" max="5722" width="17.875" bestFit="1" customWidth="1"/>
    <col min="5723" max="5723" width="5.875" bestFit="1" customWidth="1"/>
    <col min="5724" max="5724" width="8.875" bestFit="1" customWidth="1"/>
    <col min="5725" max="5727" width="5.875" bestFit="1" customWidth="1"/>
    <col min="5728" max="5728" width="9.25" bestFit="1" customWidth="1"/>
    <col min="5729" max="5729" width="7.875" bestFit="1" customWidth="1"/>
    <col min="5730" max="5730" width="17.875" bestFit="1" customWidth="1"/>
    <col min="5731" max="5731" width="5.875" bestFit="1" customWidth="1"/>
    <col min="5732" max="5732" width="8.875" bestFit="1" customWidth="1"/>
    <col min="5733" max="5735" width="5.875" bestFit="1" customWidth="1"/>
    <col min="5736" max="5736" width="9.25" bestFit="1" customWidth="1"/>
    <col min="5737" max="5737" width="17.875" bestFit="1" customWidth="1"/>
    <col min="5738" max="5738" width="5.875" bestFit="1" customWidth="1"/>
    <col min="5739" max="5739" width="8.875" bestFit="1" customWidth="1"/>
    <col min="5740" max="5742" width="5.875" bestFit="1" customWidth="1"/>
    <col min="5743" max="5743" width="9.25" bestFit="1" customWidth="1"/>
    <col min="5744" max="5744" width="17.875" bestFit="1" customWidth="1"/>
    <col min="5745" max="5745" width="5.875" bestFit="1" customWidth="1"/>
    <col min="5746" max="5746" width="8.875" bestFit="1" customWidth="1"/>
    <col min="5747" max="5749" width="5.875" bestFit="1" customWidth="1"/>
    <col min="5750" max="5750" width="9.25" bestFit="1" customWidth="1"/>
    <col min="5751" max="5751" width="17.875" bestFit="1" customWidth="1"/>
    <col min="5752" max="5752" width="5.875" bestFit="1" customWidth="1"/>
    <col min="5753" max="5753" width="8.875" bestFit="1" customWidth="1"/>
    <col min="5754" max="5756" width="5.875" bestFit="1" customWidth="1"/>
    <col min="5757" max="5757" width="9.25" bestFit="1" customWidth="1"/>
    <col min="5758" max="5758" width="17.875" bestFit="1" customWidth="1"/>
    <col min="5759" max="5759" width="5.875" bestFit="1" customWidth="1"/>
    <col min="5760" max="5760" width="8.875" bestFit="1" customWidth="1"/>
    <col min="5761" max="5763" width="5.875" bestFit="1" customWidth="1"/>
    <col min="5764" max="5764" width="9.25" bestFit="1" customWidth="1"/>
    <col min="5765" max="5765" width="17.875" bestFit="1" customWidth="1"/>
    <col min="5766" max="5766" width="5.875" bestFit="1" customWidth="1"/>
    <col min="5767" max="5767" width="8.875" bestFit="1" customWidth="1"/>
    <col min="5768" max="5770" width="5.875" bestFit="1" customWidth="1"/>
    <col min="5771" max="5771" width="10.25" bestFit="1" customWidth="1"/>
    <col min="5772" max="5772" width="17.875" bestFit="1" customWidth="1"/>
    <col min="5773" max="5773" width="5.875" bestFit="1" customWidth="1"/>
    <col min="5774" max="5774" width="8.875" bestFit="1" customWidth="1"/>
    <col min="5775" max="5777" width="5.875" bestFit="1" customWidth="1"/>
    <col min="5778" max="5778" width="9.25" bestFit="1" customWidth="1"/>
    <col min="5779" max="5779" width="17.875" bestFit="1" customWidth="1"/>
    <col min="5780" max="5780" width="5.875" bestFit="1" customWidth="1"/>
    <col min="5781" max="5781" width="8.875" bestFit="1" customWidth="1"/>
    <col min="5782" max="5784" width="5.875" bestFit="1" customWidth="1"/>
    <col min="5785" max="5785" width="10.25" bestFit="1" customWidth="1"/>
    <col min="5786" max="5786" width="7.875" bestFit="1" customWidth="1"/>
    <col min="5787" max="5787" width="17.875" bestFit="1" customWidth="1"/>
    <col min="5788" max="5788" width="6.875" bestFit="1" customWidth="1"/>
    <col min="5789" max="5789" width="10.25" bestFit="1" customWidth="1"/>
    <col min="5790" max="5792" width="6.875" bestFit="1" customWidth="1"/>
    <col min="5793" max="5793" width="7.875" bestFit="1" customWidth="1"/>
    <col min="5794" max="5794" width="17.875" bestFit="1" customWidth="1"/>
    <col min="5795" max="5795" width="6.875" bestFit="1" customWidth="1"/>
    <col min="5796" max="5796" width="10.25" bestFit="1" customWidth="1"/>
    <col min="5797" max="5799" width="6.875" bestFit="1" customWidth="1"/>
    <col min="5800" max="5800" width="7.875" bestFit="1" customWidth="1"/>
    <col min="5801" max="5801" width="17.875" bestFit="1" customWidth="1"/>
    <col min="5802" max="5802" width="6.875" bestFit="1" customWidth="1"/>
    <col min="5803" max="5803" width="10.25" bestFit="1" customWidth="1"/>
    <col min="5804" max="5806" width="6.875" bestFit="1" customWidth="1"/>
    <col min="5807" max="5807" width="7.875" bestFit="1" customWidth="1"/>
    <col min="5808" max="5808" width="17.875" bestFit="1" customWidth="1"/>
    <col min="5809" max="5809" width="6.875" bestFit="1" customWidth="1"/>
    <col min="5810" max="5810" width="8.875" bestFit="1" customWidth="1"/>
    <col min="5811" max="5813" width="6.875" bestFit="1" customWidth="1"/>
    <col min="5814" max="5814" width="7.875" bestFit="1" customWidth="1"/>
    <col min="5815" max="5815" width="17.875" bestFit="1" customWidth="1"/>
    <col min="5816" max="5816" width="6.875" bestFit="1" customWidth="1"/>
    <col min="5817" max="5817" width="10.25" bestFit="1" customWidth="1"/>
    <col min="5818" max="5820" width="6.875" bestFit="1" customWidth="1"/>
    <col min="5821" max="5821" width="7.875" bestFit="1" customWidth="1"/>
    <col min="5822" max="5822" width="17.875" bestFit="1" customWidth="1"/>
    <col min="5823" max="5823" width="6.875" bestFit="1" customWidth="1"/>
    <col min="5824" max="5824" width="10.25" bestFit="1" customWidth="1"/>
    <col min="5825" max="5827" width="6.875" bestFit="1" customWidth="1"/>
    <col min="5828" max="5828" width="7.875" bestFit="1" customWidth="1"/>
    <col min="5829" max="5829" width="17.875" bestFit="1" customWidth="1"/>
    <col min="5830" max="5830" width="6.875" bestFit="1" customWidth="1"/>
    <col min="5831" max="5831" width="10.25" bestFit="1" customWidth="1"/>
    <col min="5832" max="5834" width="6.875" bestFit="1" customWidth="1"/>
    <col min="5835" max="5835" width="7.875" bestFit="1" customWidth="1"/>
    <col min="5836" max="5836" width="17.875" bestFit="1" customWidth="1"/>
    <col min="5837" max="5837" width="6.875" bestFit="1" customWidth="1"/>
    <col min="5838" max="5838" width="8.875" bestFit="1" customWidth="1"/>
    <col min="5839" max="5841" width="6.875" bestFit="1" customWidth="1"/>
    <col min="5842" max="5843" width="7.875" bestFit="1" customWidth="1"/>
    <col min="5844" max="5844" width="17.875" bestFit="1" customWidth="1"/>
    <col min="5845" max="5845" width="6.875" bestFit="1" customWidth="1"/>
    <col min="5846" max="5846" width="10.25" bestFit="1" customWidth="1"/>
    <col min="5847" max="5849" width="6.875" bestFit="1" customWidth="1"/>
    <col min="5850" max="5850" width="9.25" bestFit="1" customWidth="1"/>
    <col min="5851" max="5851" width="17.875" bestFit="1" customWidth="1"/>
    <col min="5852" max="5852" width="6.875" bestFit="1" customWidth="1"/>
    <col min="5853" max="5853" width="10.25" bestFit="1" customWidth="1"/>
    <col min="5854" max="5856" width="6.875" bestFit="1" customWidth="1"/>
    <col min="5857" max="5857" width="9.25" bestFit="1" customWidth="1"/>
    <col min="5858" max="5858" width="17.875" bestFit="1" customWidth="1"/>
    <col min="5859" max="5859" width="6.875" bestFit="1" customWidth="1"/>
    <col min="5860" max="5860" width="10.25" bestFit="1" customWidth="1"/>
    <col min="5861" max="5863" width="6.875" bestFit="1" customWidth="1"/>
    <col min="5864" max="5864" width="9.25" bestFit="1" customWidth="1"/>
    <col min="5865" max="5865" width="17.875" bestFit="1" customWidth="1"/>
    <col min="5866" max="5866" width="6.875" bestFit="1" customWidth="1"/>
    <col min="5867" max="5867" width="10.25" bestFit="1" customWidth="1"/>
    <col min="5868" max="5870" width="6.875" bestFit="1" customWidth="1"/>
    <col min="5871" max="5871" width="9.25" bestFit="1" customWidth="1"/>
    <col min="5872" max="5872" width="17.875" bestFit="1" customWidth="1"/>
    <col min="5873" max="5873" width="6.875" bestFit="1" customWidth="1"/>
    <col min="5874" max="5874" width="10.25" bestFit="1" customWidth="1"/>
    <col min="5875" max="5877" width="6.875" bestFit="1" customWidth="1"/>
    <col min="5878" max="5878" width="9.25" bestFit="1" customWidth="1"/>
    <col min="5879" max="5879" width="17.875" bestFit="1" customWidth="1"/>
    <col min="5880" max="5880" width="6.875" bestFit="1" customWidth="1"/>
    <col min="5881" max="5881" width="10.25" bestFit="1" customWidth="1"/>
    <col min="5882" max="5884" width="6.875" bestFit="1" customWidth="1"/>
    <col min="5885" max="5885" width="9.25" bestFit="1" customWidth="1"/>
    <col min="5886" max="5886" width="17.875" bestFit="1" customWidth="1"/>
    <col min="5887" max="5887" width="6.875" bestFit="1" customWidth="1"/>
    <col min="5888" max="5888" width="10.25" bestFit="1" customWidth="1"/>
    <col min="5889" max="5891" width="6.875" bestFit="1" customWidth="1"/>
    <col min="5892" max="5892" width="9.25" bestFit="1" customWidth="1"/>
    <col min="5893" max="5893" width="17.875" bestFit="1" customWidth="1"/>
    <col min="5894" max="5894" width="6.875" bestFit="1" customWidth="1"/>
    <col min="5895" max="5895" width="10.25" bestFit="1" customWidth="1"/>
    <col min="5896" max="5898" width="6.875" bestFit="1" customWidth="1"/>
    <col min="5899" max="5899" width="9.25" bestFit="1" customWidth="1"/>
    <col min="5900" max="5900" width="7.875" bestFit="1" customWidth="1"/>
    <col min="5901" max="5901" width="17.875" bestFit="1" customWidth="1"/>
    <col min="5902" max="5902" width="6.875" bestFit="1" customWidth="1"/>
    <col min="5903" max="5903" width="10.25" bestFit="1" customWidth="1"/>
    <col min="5904" max="5906" width="6.875" bestFit="1" customWidth="1"/>
    <col min="5907" max="5907" width="9.25" bestFit="1" customWidth="1"/>
    <col min="5908" max="5908" width="17.875" bestFit="1" customWidth="1"/>
    <col min="5909" max="5909" width="6.875" bestFit="1" customWidth="1"/>
    <col min="5910" max="5910" width="10.25" bestFit="1" customWidth="1"/>
    <col min="5911" max="5913" width="6.875" bestFit="1" customWidth="1"/>
    <col min="5914" max="5914" width="9.25" bestFit="1" customWidth="1"/>
    <col min="5915" max="5915" width="17.875" bestFit="1" customWidth="1"/>
    <col min="5916" max="5916" width="6.875" bestFit="1" customWidth="1"/>
    <col min="5917" max="5917" width="10.25" bestFit="1" customWidth="1"/>
    <col min="5918" max="5920" width="6.875" bestFit="1" customWidth="1"/>
    <col min="5921" max="5921" width="9.25" bestFit="1" customWidth="1"/>
    <col min="5922" max="5922" width="17.875" bestFit="1" customWidth="1"/>
    <col min="5923" max="5923" width="6.875" bestFit="1" customWidth="1"/>
    <col min="5924" max="5924" width="10.25" bestFit="1" customWidth="1"/>
    <col min="5925" max="5927" width="6.875" bestFit="1" customWidth="1"/>
    <col min="5928" max="5928" width="9.25" bestFit="1" customWidth="1"/>
    <col min="5929" max="5929" width="17.875" bestFit="1" customWidth="1"/>
    <col min="5930" max="5930" width="6.875" bestFit="1" customWidth="1"/>
    <col min="5931" max="5931" width="10.25" bestFit="1" customWidth="1"/>
    <col min="5932" max="5934" width="6.875" bestFit="1" customWidth="1"/>
    <col min="5935" max="5935" width="9.25" bestFit="1" customWidth="1"/>
    <col min="5936" max="5936" width="17.875" bestFit="1" customWidth="1"/>
    <col min="5937" max="5937" width="6.875" bestFit="1" customWidth="1"/>
    <col min="5938" max="5938" width="10.25" bestFit="1" customWidth="1"/>
    <col min="5939" max="5941" width="6.875" bestFit="1" customWidth="1"/>
    <col min="5942" max="5942" width="9.25" bestFit="1" customWidth="1"/>
    <col min="5943" max="5943" width="17.875" bestFit="1" customWidth="1"/>
    <col min="5944" max="5944" width="6.875" bestFit="1" customWidth="1"/>
    <col min="5945" max="5945" width="10.25" bestFit="1" customWidth="1"/>
    <col min="5946" max="5948" width="6.875" bestFit="1" customWidth="1"/>
    <col min="5949" max="5949" width="9.25" bestFit="1" customWidth="1"/>
    <col min="5950" max="5950" width="17.875" bestFit="1" customWidth="1"/>
    <col min="5951" max="5951" width="6.875" bestFit="1" customWidth="1"/>
    <col min="5952" max="5952" width="10.25" bestFit="1" customWidth="1"/>
    <col min="5953" max="5955" width="6.875" bestFit="1" customWidth="1"/>
    <col min="5956" max="5956" width="9.25" bestFit="1" customWidth="1"/>
    <col min="5957" max="5959" width="6.875" bestFit="1" customWidth="1"/>
    <col min="5960" max="5960" width="10.25" bestFit="1" customWidth="1"/>
    <col min="5961" max="5961" width="17.875" bestFit="1" customWidth="1"/>
    <col min="5962" max="5962" width="6.875" bestFit="1" customWidth="1"/>
    <col min="5963" max="5963" width="8.875" bestFit="1" customWidth="1"/>
    <col min="5964" max="5966" width="6.875" bestFit="1" customWidth="1"/>
    <col min="5967" max="5967" width="9.25" bestFit="1" customWidth="1"/>
    <col min="5968" max="5968" width="17.875" bestFit="1" customWidth="1"/>
    <col min="5969" max="5969" width="6.875" bestFit="1" customWidth="1"/>
    <col min="5970" max="5970" width="10.25" bestFit="1" customWidth="1"/>
    <col min="5971" max="5973" width="6.875" bestFit="1" customWidth="1"/>
    <col min="5974" max="5974" width="9.25" bestFit="1" customWidth="1"/>
    <col min="5975" max="5975" width="17.875" bestFit="1" customWidth="1"/>
    <col min="5976" max="5976" width="6.875" bestFit="1" customWidth="1"/>
    <col min="5977" max="5977" width="8.875" bestFit="1" customWidth="1"/>
    <col min="5978" max="5980" width="6.875" bestFit="1" customWidth="1"/>
    <col min="5981" max="5981" width="9.25" bestFit="1" customWidth="1"/>
    <col min="5982" max="5982" width="7.875" bestFit="1" customWidth="1"/>
    <col min="5983" max="5983" width="17.875" bestFit="1" customWidth="1"/>
    <col min="5984" max="5984" width="6.875" bestFit="1" customWidth="1"/>
    <col min="5985" max="5985" width="10.25" bestFit="1" customWidth="1"/>
    <col min="5986" max="5988" width="6.875" bestFit="1" customWidth="1"/>
    <col min="5989" max="5989" width="7.875" bestFit="1" customWidth="1"/>
    <col min="5990" max="5990" width="17.875" bestFit="1" customWidth="1"/>
    <col min="5991" max="5991" width="6.875" bestFit="1" customWidth="1"/>
    <col min="5992" max="5992" width="10.25" bestFit="1" customWidth="1"/>
    <col min="5993" max="5995" width="6.875" bestFit="1" customWidth="1"/>
    <col min="5996" max="5996" width="7.875" bestFit="1" customWidth="1"/>
    <col min="5997" max="5997" width="17.875" bestFit="1" customWidth="1"/>
    <col min="5998" max="5998" width="6.875" bestFit="1" customWidth="1"/>
    <col min="5999" max="5999" width="10.25" bestFit="1" customWidth="1"/>
    <col min="6000" max="6002" width="6.875" bestFit="1" customWidth="1"/>
    <col min="6003" max="6003" width="7.875" bestFit="1" customWidth="1"/>
    <col min="6004" max="6004" width="17.875" bestFit="1" customWidth="1"/>
    <col min="6005" max="6005" width="6.875" bestFit="1" customWidth="1"/>
    <col min="6006" max="6006" width="10.25" bestFit="1" customWidth="1"/>
    <col min="6007" max="6009" width="6.875" bestFit="1" customWidth="1"/>
    <col min="6010" max="6010" width="7.875" bestFit="1" customWidth="1"/>
    <col min="6011" max="6011" width="17.875" bestFit="1" customWidth="1"/>
    <col min="6012" max="6012" width="6.875" bestFit="1" customWidth="1"/>
    <col min="6013" max="6013" width="10.25" bestFit="1" customWidth="1"/>
    <col min="6014" max="6016" width="6.875" bestFit="1" customWidth="1"/>
    <col min="6017" max="6017" width="7.875" bestFit="1" customWidth="1"/>
    <col min="6018" max="6018" width="17.875" bestFit="1" customWidth="1"/>
    <col min="6019" max="6019" width="6.875" bestFit="1" customWidth="1"/>
    <col min="6020" max="6020" width="10.25" bestFit="1" customWidth="1"/>
    <col min="6021" max="6023" width="6.875" bestFit="1" customWidth="1"/>
    <col min="6024" max="6024" width="7.875" bestFit="1" customWidth="1"/>
    <col min="6025" max="6025" width="17.875" bestFit="1" customWidth="1"/>
    <col min="6026" max="6026" width="6.875" bestFit="1" customWidth="1"/>
    <col min="6027" max="6027" width="10.25" bestFit="1" customWidth="1"/>
    <col min="6028" max="6028" width="6.875" bestFit="1" customWidth="1"/>
    <col min="6029" max="6029" width="7.875" bestFit="1" customWidth="1"/>
    <col min="6030" max="6030" width="6.875" bestFit="1" customWidth="1"/>
    <col min="6031" max="6031" width="7.875" bestFit="1" customWidth="1"/>
    <col min="6032" max="6032" width="17.875" bestFit="1" customWidth="1"/>
    <col min="6033" max="6033" width="6.875" bestFit="1" customWidth="1"/>
    <col min="6034" max="6034" width="10.25" bestFit="1" customWidth="1"/>
    <col min="6035" max="6037" width="6.875" bestFit="1" customWidth="1"/>
    <col min="6038" max="6038" width="9.25" bestFit="1" customWidth="1"/>
    <col min="6039" max="6039" width="7.875" bestFit="1" customWidth="1"/>
    <col min="6040" max="6040" width="17.875" bestFit="1" customWidth="1"/>
    <col min="6041" max="6041" width="6.875" bestFit="1" customWidth="1"/>
    <col min="6042" max="6042" width="10.25" bestFit="1" customWidth="1"/>
    <col min="6043" max="6045" width="6.875" bestFit="1" customWidth="1"/>
    <col min="6046" max="6046" width="7.875" bestFit="1" customWidth="1"/>
    <col min="6047" max="6047" width="17.875" bestFit="1" customWidth="1"/>
    <col min="6048" max="6048" width="6.875" bestFit="1" customWidth="1"/>
    <col min="6049" max="6049" width="10.25" bestFit="1" customWidth="1"/>
    <col min="6050" max="6052" width="6.875" bestFit="1" customWidth="1"/>
    <col min="6053" max="6053" width="7.875" bestFit="1" customWidth="1"/>
    <col min="6054" max="6054" width="17.875" bestFit="1" customWidth="1"/>
    <col min="6055" max="6055" width="6.875" bestFit="1" customWidth="1"/>
    <col min="6056" max="6056" width="10.25" bestFit="1" customWidth="1"/>
    <col min="6057" max="6059" width="6.875" bestFit="1" customWidth="1"/>
    <col min="6060" max="6060" width="7.875" bestFit="1" customWidth="1"/>
    <col min="6061" max="6061" width="17.875" bestFit="1" customWidth="1"/>
    <col min="6062" max="6062" width="6.875" bestFit="1" customWidth="1"/>
    <col min="6063" max="6063" width="10.25" bestFit="1" customWidth="1"/>
    <col min="6064" max="6066" width="6.875" bestFit="1" customWidth="1"/>
    <col min="6067" max="6067" width="7.875" bestFit="1" customWidth="1"/>
    <col min="6068" max="6068" width="17.875" bestFit="1" customWidth="1"/>
    <col min="6069" max="6069" width="6.875" bestFit="1" customWidth="1"/>
    <col min="6070" max="6070" width="10.25" bestFit="1" customWidth="1"/>
    <col min="6071" max="6073" width="6.875" bestFit="1" customWidth="1"/>
    <col min="6074" max="6074" width="7.875" bestFit="1" customWidth="1"/>
    <col min="6075" max="6075" width="17.875" bestFit="1" customWidth="1"/>
    <col min="6076" max="6076" width="6.875" bestFit="1" customWidth="1"/>
    <col min="6077" max="6077" width="10.25" bestFit="1" customWidth="1"/>
    <col min="6078" max="6080" width="6.875" bestFit="1" customWidth="1"/>
    <col min="6081" max="6081" width="7.875" bestFit="1" customWidth="1"/>
    <col min="6082" max="6082" width="17.875" bestFit="1" customWidth="1"/>
    <col min="6083" max="6083" width="6.875" bestFit="1" customWidth="1"/>
    <col min="6084" max="6084" width="10.25" bestFit="1" customWidth="1"/>
    <col min="6085" max="6085" width="6.875" bestFit="1" customWidth="1"/>
    <col min="6086" max="6086" width="7.875" bestFit="1" customWidth="1"/>
    <col min="6087" max="6087" width="6.875" bestFit="1" customWidth="1"/>
    <col min="6088" max="6088" width="7.875" bestFit="1" customWidth="1"/>
    <col min="6089" max="6089" width="17.875" bestFit="1" customWidth="1"/>
    <col min="6090" max="6090" width="6.875" bestFit="1" customWidth="1"/>
    <col min="6091" max="6091" width="10.25" bestFit="1" customWidth="1"/>
    <col min="6092" max="6094" width="6.875" bestFit="1" customWidth="1"/>
    <col min="6095" max="6095" width="9.25" bestFit="1" customWidth="1"/>
    <col min="6096" max="6096" width="7.875" bestFit="1" customWidth="1"/>
    <col min="6097" max="6097" width="17.875" bestFit="1" customWidth="1"/>
    <col min="6098" max="6098" width="6.875" bestFit="1" customWidth="1"/>
    <col min="6099" max="6099" width="10.25" bestFit="1" customWidth="1"/>
    <col min="6100" max="6102" width="6.875" bestFit="1" customWidth="1"/>
    <col min="6103" max="6103" width="7.875" bestFit="1" customWidth="1"/>
    <col min="6104" max="6104" width="17.875" bestFit="1" customWidth="1"/>
    <col min="6105" max="6105" width="6.875" bestFit="1" customWidth="1"/>
    <col min="6106" max="6106" width="10.25" bestFit="1" customWidth="1"/>
    <col min="6107" max="6109" width="6.875" bestFit="1" customWidth="1"/>
    <col min="6110" max="6110" width="7.875" bestFit="1" customWidth="1"/>
    <col min="6111" max="6111" width="17.875" bestFit="1" customWidth="1"/>
    <col min="6112" max="6112" width="6.875" bestFit="1" customWidth="1"/>
    <col min="6113" max="6113" width="10.25" bestFit="1" customWidth="1"/>
    <col min="6114" max="6116" width="6.875" bestFit="1" customWidth="1"/>
    <col min="6117" max="6117" width="7.875" bestFit="1" customWidth="1"/>
    <col min="6118" max="6118" width="17.875" bestFit="1" customWidth="1"/>
    <col min="6119" max="6119" width="6.875" bestFit="1" customWidth="1"/>
    <col min="6120" max="6120" width="10.25" bestFit="1" customWidth="1"/>
    <col min="6121" max="6123" width="6.875" bestFit="1" customWidth="1"/>
    <col min="6124" max="6124" width="7.875" bestFit="1" customWidth="1"/>
    <col min="6125" max="6125" width="17.875" bestFit="1" customWidth="1"/>
    <col min="6126" max="6126" width="6.875" bestFit="1" customWidth="1"/>
    <col min="6127" max="6127" width="10.25" bestFit="1" customWidth="1"/>
    <col min="6128" max="6130" width="6.875" bestFit="1" customWidth="1"/>
    <col min="6131" max="6131" width="7.875" bestFit="1" customWidth="1"/>
    <col min="6132" max="6132" width="17.875" bestFit="1" customWidth="1"/>
    <col min="6133" max="6133" width="6.875" bestFit="1" customWidth="1"/>
    <col min="6134" max="6134" width="10.25" bestFit="1" customWidth="1"/>
    <col min="6135" max="6137" width="6.875" bestFit="1" customWidth="1"/>
    <col min="6138" max="6138" width="7.875" bestFit="1" customWidth="1"/>
    <col min="6139" max="6139" width="17.875" bestFit="1" customWidth="1"/>
    <col min="6140" max="6140" width="6.875" bestFit="1" customWidth="1"/>
    <col min="6141" max="6141" width="10.25" bestFit="1" customWidth="1"/>
    <col min="6142" max="6142" width="6.875" bestFit="1" customWidth="1"/>
    <col min="6143" max="6143" width="7.875" bestFit="1" customWidth="1"/>
    <col min="6144" max="6144" width="6.875" bestFit="1" customWidth="1"/>
    <col min="6145" max="6145" width="7.875" bestFit="1" customWidth="1"/>
    <col min="6146" max="6146" width="17.875" bestFit="1" customWidth="1"/>
    <col min="6147" max="6147" width="6.875" bestFit="1" customWidth="1"/>
    <col min="6148" max="6148" width="10.25" bestFit="1" customWidth="1"/>
    <col min="6149" max="6151" width="6.875" bestFit="1" customWidth="1"/>
    <col min="6152" max="6152" width="9.25" bestFit="1" customWidth="1"/>
    <col min="6153" max="6153" width="7.875" bestFit="1" customWidth="1"/>
    <col min="6154" max="6154" width="17.875" bestFit="1" customWidth="1"/>
    <col min="6155" max="6155" width="6.875" bestFit="1" customWidth="1"/>
    <col min="6156" max="6156" width="10.25" bestFit="1" customWidth="1"/>
    <col min="6157" max="6159" width="6.875" bestFit="1" customWidth="1"/>
    <col min="6160" max="6160" width="7.875" bestFit="1" customWidth="1"/>
    <col min="6161" max="6161" width="17.875" bestFit="1" customWidth="1"/>
    <col min="6162" max="6162" width="6.875" bestFit="1" customWidth="1"/>
    <col min="6163" max="6163" width="10.25" bestFit="1" customWidth="1"/>
    <col min="6164" max="6166" width="6.875" bestFit="1" customWidth="1"/>
    <col min="6167" max="6167" width="7.875" bestFit="1" customWidth="1"/>
    <col min="6168" max="6168" width="17.875" bestFit="1" customWidth="1"/>
    <col min="6169" max="6169" width="6.875" bestFit="1" customWidth="1"/>
    <col min="6170" max="6170" width="10.25" bestFit="1" customWidth="1"/>
    <col min="6171" max="6173" width="6.875" bestFit="1" customWidth="1"/>
    <col min="6174" max="6174" width="7.875" bestFit="1" customWidth="1"/>
    <col min="6175" max="6175" width="17.875" bestFit="1" customWidth="1"/>
    <col min="6176" max="6176" width="6.875" bestFit="1" customWidth="1"/>
    <col min="6177" max="6177" width="10.25" bestFit="1" customWidth="1"/>
    <col min="6178" max="6180" width="6.875" bestFit="1" customWidth="1"/>
    <col min="6181" max="6181" width="7.875" bestFit="1" customWidth="1"/>
    <col min="6182" max="6182" width="17.875" bestFit="1" customWidth="1"/>
    <col min="6183" max="6183" width="6.875" bestFit="1" customWidth="1"/>
    <col min="6184" max="6184" width="10.25" bestFit="1" customWidth="1"/>
    <col min="6185" max="6187" width="6.875" bestFit="1" customWidth="1"/>
    <col min="6188" max="6188" width="7.875" bestFit="1" customWidth="1"/>
    <col min="6189" max="6189" width="17.875" bestFit="1" customWidth="1"/>
    <col min="6190" max="6190" width="6.875" bestFit="1" customWidth="1"/>
    <col min="6191" max="6191" width="10.25" bestFit="1" customWidth="1"/>
    <col min="6192" max="6194" width="6.875" bestFit="1" customWidth="1"/>
    <col min="6195" max="6195" width="7.875" bestFit="1" customWidth="1"/>
    <col min="6196" max="6196" width="17.875" bestFit="1" customWidth="1"/>
    <col min="6197" max="6197" width="6.875" bestFit="1" customWidth="1"/>
    <col min="6198" max="6198" width="10.25" bestFit="1" customWidth="1"/>
    <col min="6199" max="6199" width="6.875" bestFit="1" customWidth="1"/>
    <col min="6200" max="6200" width="7.875" bestFit="1" customWidth="1"/>
    <col min="6201" max="6201" width="6.875" bestFit="1" customWidth="1"/>
    <col min="6202" max="6202" width="7.875" bestFit="1" customWidth="1"/>
    <col min="6203" max="6203" width="17.875" bestFit="1" customWidth="1"/>
    <col min="6204" max="6204" width="6.875" bestFit="1" customWidth="1"/>
    <col min="6205" max="6205" width="10.25" bestFit="1" customWidth="1"/>
    <col min="6206" max="6208" width="6.875" bestFit="1" customWidth="1"/>
    <col min="6209" max="6209" width="9.25" bestFit="1" customWidth="1"/>
    <col min="6210" max="6210" width="7.875" bestFit="1" customWidth="1"/>
    <col min="6211" max="6211" width="17.875" bestFit="1" customWidth="1"/>
    <col min="6212" max="6212" width="6.875" bestFit="1" customWidth="1"/>
    <col min="6213" max="6213" width="10.25" bestFit="1" customWidth="1"/>
    <col min="6214" max="6216" width="6.875" bestFit="1" customWidth="1"/>
    <col min="6217" max="6217" width="7.875" bestFit="1" customWidth="1"/>
    <col min="6218" max="6218" width="17.875" bestFit="1" customWidth="1"/>
    <col min="6219" max="6219" width="6.875" bestFit="1" customWidth="1"/>
    <col min="6220" max="6220" width="10.25" bestFit="1" customWidth="1"/>
    <col min="6221" max="6223" width="6.875" bestFit="1" customWidth="1"/>
    <col min="6224" max="6224" width="7.875" bestFit="1" customWidth="1"/>
    <col min="6225" max="6225" width="17.875" bestFit="1" customWidth="1"/>
    <col min="6226" max="6226" width="6.875" bestFit="1" customWidth="1"/>
    <col min="6227" max="6227" width="10.25" bestFit="1" customWidth="1"/>
    <col min="6228" max="6230" width="6.875" bestFit="1" customWidth="1"/>
    <col min="6231" max="6231" width="7.875" bestFit="1" customWidth="1"/>
    <col min="6232" max="6232" width="17.875" bestFit="1" customWidth="1"/>
    <col min="6233" max="6233" width="6.875" bestFit="1" customWidth="1"/>
    <col min="6234" max="6234" width="10.25" bestFit="1" customWidth="1"/>
    <col min="6235" max="6237" width="6.875" bestFit="1" customWidth="1"/>
    <col min="6238" max="6238" width="7.875" bestFit="1" customWidth="1"/>
    <col min="6239" max="6239" width="17.875" bestFit="1" customWidth="1"/>
    <col min="6240" max="6240" width="6.875" bestFit="1" customWidth="1"/>
    <col min="6241" max="6241" width="10.25" bestFit="1" customWidth="1"/>
    <col min="6242" max="6244" width="6.875" bestFit="1" customWidth="1"/>
    <col min="6245" max="6245" width="7.875" bestFit="1" customWidth="1"/>
    <col min="6246" max="6246" width="17.875" bestFit="1" customWidth="1"/>
    <col min="6247" max="6247" width="6.875" bestFit="1" customWidth="1"/>
    <col min="6248" max="6248" width="10.25" bestFit="1" customWidth="1"/>
    <col min="6249" max="6251" width="6.875" bestFit="1" customWidth="1"/>
    <col min="6252" max="6252" width="7.875" bestFit="1" customWidth="1"/>
    <col min="6253" max="6253" width="17.875" bestFit="1" customWidth="1"/>
    <col min="6254" max="6254" width="6.875" bestFit="1" customWidth="1"/>
    <col min="6255" max="6255" width="10.25" bestFit="1" customWidth="1"/>
    <col min="6256" max="6256" width="6.875" bestFit="1" customWidth="1"/>
    <col min="6257" max="6257" width="7.875" bestFit="1" customWidth="1"/>
    <col min="6258" max="6258" width="6.875" bestFit="1" customWidth="1"/>
    <col min="6259" max="6259" width="7.875" bestFit="1" customWidth="1"/>
    <col min="6260" max="6260" width="17.875" bestFit="1" customWidth="1"/>
    <col min="6261" max="6261" width="6.875" bestFit="1" customWidth="1"/>
    <col min="6262" max="6262" width="10.25" bestFit="1" customWidth="1"/>
    <col min="6263" max="6265" width="6.875" bestFit="1" customWidth="1"/>
    <col min="6266" max="6267" width="9.25" bestFit="1" customWidth="1"/>
    <col min="6268" max="6268" width="17.875" bestFit="1" customWidth="1"/>
    <col min="6269" max="6269" width="7.875" bestFit="1" customWidth="1"/>
    <col min="6270" max="6270" width="10.25" bestFit="1" customWidth="1"/>
    <col min="6271" max="6274" width="7.875" bestFit="1" customWidth="1"/>
    <col min="6275" max="6275" width="17.875" bestFit="1" customWidth="1"/>
    <col min="6276" max="6276" width="7.875" bestFit="1" customWidth="1"/>
    <col min="6277" max="6277" width="11.375" bestFit="1" customWidth="1"/>
    <col min="6278" max="6281" width="7.875" bestFit="1" customWidth="1"/>
    <col min="6282" max="6282" width="17.875" bestFit="1" customWidth="1"/>
    <col min="6283" max="6283" width="7.875" bestFit="1" customWidth="1"/>
    <col min="6284" max="6284" width="11.375" bestFit="1" customWidth="1"/>
    <col min="6285" max="6287" width="7.875" bestFit="1" customWidth="1"/>
    <col min="6288" max="6288" width="9.25" bestFit="1" customWidth="1"/>
    <col min="6289" max="6289" width="17.875" bestFit="1" customWidth="1"/>
    <col min="6290" max="6290" width="7.875" bestFit="1" customWidth="1"/>
    <col min="6291" max="6291" width="10.25" bestFit="1" customWidth="1"/>
    <col min="6292" max="6294" width="7.875" bestFit="1" customWidth="1"/>
    <col min="6295" max="6295" width="9.25" bestFit="1" customWidth="1"/>
    <col min="6296" max="6296" width="17.875" bestFit="1" customWidth="1"/>
    <col min="6297" max="6297" width="7.875" bestFit="1" customWidth="1"/>
    <col min="6298" max="6298" width="11.375" bestFit="1" customWidth="1"/>
    <col min="6299" max="6301" width="7.875" bestFit="1" customWidth="1"/>
    <col min="6302" max="6302" width="9.25" bestFit="1" customWidth="1"/>
    <col min="6303" max="6303" width="17.875" bestFit="1" customWidth="1"/>
    <col min="6304" max="6304" width="7.875" bestFit="1" customWidth="1"/>
    <col min="6305" max="6305" width="11.375" bestFit="1" customWidth="1"/>
    <col min="6306" max="6308" width="7.875" bestFit="1" customWidth="1"/>
    <col min="6309" max="6309" width="9.25" bestFit="1" customWidth="1"/>
    <col min="6310" max="6310" width="17.875" bestFit="1" customWidth="1"/>
    <col min="6311" max="6311" width="7.875" bestFit="1" customWidth="1"/>
    <col min="6312" max="6312" width="11.375" bestFit="1" customWidth="1"/>
    <col min="6313" max="6315" width="7.875" bestFit="1" customWidth="1"/>
    <col min="6316" max="6316" width="9.25" bestFit="1" customWidth="1"/>
    <col min="6317" max="6317" width="17.875" bestFit="1" customWidth="1"/>
    <col min="6318" max="6318" width="7.875" bestFit="1" customWidth="1"/>
    <col min="6319" max="6319" width="11.375" bestFit="1" customWidth="1"/>
    <col min="6320" max="6322" width="7.875" bestFit="1" customWidth="1"/>
    <col min="6323" max="6323" width="9.25" bestFit="1" customWidth="1"/>
    <col min="6324" max="6324" width="7.875" bestFit="1" customWidth="1"/>
    <col min="6325" max="6325" width="17.875" bestFit="1" customWidth="1"/>
    <col min="6326" max="6326" width="7.875" bestFit="1" customWidth="1"/>
    <col min="6327" max="6327" width="11.375" bestFit="1" customWidth="1"/>
    <col min="6328" max="6331" width="7.875" bestFit="1" customWidth="1"/>
    <col min="6332" max="6332" width="17.875" bestFit="1" customWidth="1"/>
    <col min="6333" max="6333" width="7.875" bestFit="1" customWidth="1"/>
    <col min="6334" max="6334" width="11.375" bestFit="1" customWidth="1"/>
    <col min="6335" max="6337" width="7.875" bestFit="1" customWidth="1"/>
    <col min="6338" max="6338" width="9.25" bestFit="1" customWidth="1"/>
    <col min="6339" max="6339" width="17.875" bestFit="1" customWidth="1"/>
    <col min="6340" max="6340" width="7.875" bestFit="1" customWidth="1"/>
    <col min="6341" max="6341" width="11.375" bestFit="1" customWidth="1"/>
    <col min="6342" max="6344" width="7.875" bestFit="1" customWidth="1"/>
    <col min="6345" max="6345" width="9.25" bestFit="1" customWidth="1"/>
    <col min="6346" max="6346" width="17.875" bestFit="1" customWidth="1"/>
    <col min="6347" max="6347" width="7.875" bestFit="1" customWidth="1"/>
    <col min="6348" max="6348" width="11.375" bestFit="1" customWidth="1"/>
    <col min="6349" max="6351" width="7.875" bestFit="1" customWidth="1"/>
    <col min="6352" max="6352" width="9.25" bestFit="1" customWidth="1"/>
    <col min="6353" max="6353" width="17.875" bestFit="1" customWidth="1"/>
    <col min="6354" max="6354" width="7.875" bestFit="1" customWidth="1"/>
    <col min="6355" max="6355" width="11.375" bestFit="1" customWidth="1"/>
    <col min="6356" max="6358" width="7.875" bestFit="1" customWidth="1"/>
    <col min="6359" max="6359" width="9.25" bestFit="1" customWidth="1"/>
    <col min="6360" max="6360" width="17.875" bestFit="1" customWidth="1"/>
    <col min="6361" max="6361" width="7.875" bestFit="1" customWidth="1"/>
    <col min="6362" max="6362" width="11.375" bestFit="1" customWidth="1"/>
    <col min="6363" max="6366" width="7.875" bestFit="1" customWidth="1"/>
    <col min="6367" max="6367" width="17.875" bestFit="1" customWidth="1"/>
    <col min="6368" max="6368" width="7.875" bestFit="1" customWidth="1"/>
    <col min="6369" max="6369" width="11.375" bestFit="1" customWidth="1"/>
    <col min="6370" max="6373" width="7.875" bestFit="1" customWidth="1"/>
    <col min="6374" max="6374" width="17.875" bestFit="1" customWidth="1"/>
    <col min="6375" max="6375" width="7.875" bestFit="1" customWidth="1"/>
    <col min="6376" max="6376" width="11.375" bestFit="1" customWidth="1"/>
    <col min="6377" max="6379" width="7.875" bestFit="1" customWidth="1"/>
    <col min="6380" max="6380" width="9.25" bestFit="1" customWidth="1"/>
    <col min="6381" max="6381" width="7.875" bestFit="1" customWidth="1"/>
    <col min="6382" max="6382" width="17.875" bestFit="1" customWidth="1"/>
    <col min="6383" max="6383" width="6.875" bestFit="1" customWidth="1"/>
    <col min="6384" max="6384" width="10.25" bestFit="1" customWidth="1"/>
    <col min="6385" max="6387" width="6.875" bestFit="1" customWidth="1"/>
    <col min="6388" max="6388" width="7.875" bestFit="1" customWidth="1"/>
    <col min="6389" max="6389" width="17.875" bestFit="1" customWidth="1"/>
    <col min="6390" max="6390" width="6.875" bestFit="1" customWidth="1"/>
    <col min="6391" max="6391" width="10.25" bestFit="1" customWidth="1"/>
    <col min="6392" max="6394" width="6.875" bestFit="1" customWidth="1"/>
    <col min="6395" max="6395" width="7.875" bestFit="1" customWidth="1"/>
    <col min="6396" max="6396" width="17.875" bestFit="1" customWidth="1"/>
    <col min="6397" max="6397" width="6.875" bestFit="1" customWidth="1"/>
    <col min="6398" max="6398" width="10.25" bestFit="1" customWidth="1"/>
    <col min="6399" max="6401" width="6.875" bestFit="1" customWidth="1"/>
    <col min="6402" max="6402" width="9.25" bestFit="1" customWidth="1"/>
    <col min="6403" max="6403" width="17.875" bestFit="1" customWidth="1"/>
    <col min="6404" max="6404" width="6.875" bestFit="1" customWidth="1"/>
    <col min="6405" max="6405" width="10.25" bestFit="1" customWidth="1"/>
    <col min="6406" max="6408" width="6.875" bestFit="1" customWidth="1"/>
    <col min="6409" max="6409" width="9.25" bestFit="1" customWidth="1"/>
    <col min="6410" max="6410" width="17.875" bestFit="1" customWidth="1"/>
    <col min="6411" max="6411" width="6.875" bestFit="1" customWidth="1"/>
    <col min="6412" max="6412" width="10.25" bestFit="1" customWidth="1"/>
    <col min="6413" max="6415" width="6.875" bestFit="1" customWidth="1"/>
    <col min="6416" max="6416" width="7.875" bestFit="1" customWidth="1"/>
    <col min="6417" max="6417" width="17.875" bestFit="1" customWidth="1"/>
    <col min="6418" max="6418" width="6.875" bestFit="1" customWidth="1"/>
    <col min="6419" max="6419" width="10.25" bestFit="1" customWidth="1"/>
    <col min="6420" max="6422" width="6.875" bestFit="1" customWidth="1"/>
    <col min="6423" max="6423" width="9.25" bestFit="1" customWidth="1"/>
    <col min="6424" max="6424" width="17.875" bestFit="1" customWidth="1"/>
    <col min="6425" max="6425" width="6.875" bestFit="1" customWidth="1"/>
    <col min="6426" max="6426" width="10.25" bestFit="1" customWidth="1"/>
    <col min="6427" max="6429" width="6.875" bestFit="1" customWidth="1"/>
    <col min="6430" max="6430" width="7.875" bestFit="1" customWidth="1"/>
    <col min="6431" max="6431" width="17.875" bestFit="1" customWidth="1"/>
    <col min="6432" max="6432" width="6.875" bestFit="1" customWidth="1"/>
    <col min="6433" max="6433" width="10.25" bestFit="1" customWidth="1"/>
    <col min="6434" max="6436" width="6.875" bestFit="1" customWidth="1"/>
    <col min="6437" max="6437" width="9.25" bestFit="1" customWidth="1"/>
    <col min="6438" max="6438" width="10.25" bestFit="1" customWidth="1"/>
    <col min="6439" max="6439" width="17.875" bestFit="1" customWidth="1"/>
    <col min="6440" max="6440" width="6.875" bestFit="1" customWidth="1"/>
    <col min="6441" max="6441" width="10.25" bestFit="1" customWidth="1"/>
    <col min="6442" max="6444" width="6.875" bestFit="1" customWidth="1"/>
    <col min="6445" max="6445" width="10.25" bestFit="1" customWidth="1"/>
    <col min="6446" max="6446" width="17.875" bestFit="1" customWidth="1"/>
    <col min="6447" max="6447" width="6.875" bestFit="1" customWidth="1"/>
    <col min="6448" max="6448" width="10.25" bestFit="1" customWidth="1"/>
    <col min="6449" max="6451" width="6.875" bestFit="1" customWidth="1"/>
    <col min="6452" max="6452" width="10.25" bestFit="1" customWidth="1"/>
    <col min="6453" max="6453" width="17.875" bestFit="1" customWidth="1"/>
    <col min="6454" max="6454" width="6.875" bestFit="1" customWidth="1"/>
    <col min="6455" max="6455" width="10.25" bestFit="1" customWidth="1"/>
    <col min="6456" max="6458" width="6.875" bestFit="1" customWidth="1"/>
    <col min="6459" max="6459" width="10.25" bestFit="1" customWidth="1"/>
    <col min="6460" max="6460" width="17.875" bestFit="1" customWidth="1"/>
    <col min="6461" max="6461" width="6.875" bestFit="1" customWidth="1"/>
    <col min="6462" max="6462" width="10.25" bestFit="1" customWidth="1"/>
    <col min="6463" max="6465" width="6.875" bestFit="1" customWidth="1"/>
    <col min="6466" max="6466" width="10.25" bestFit="1" customWidth="1"/>
    <col min="6467" max="6467" width="17.875" bestFit="1" customWidth="1"/>
    <col min="6468" max="6468" width="6.875" bestFit="1" customWidth="1"/>
    <col min="6469" max="6469" width="10.25" bestFit="1" customWidth="1"/>
    <col min="6470" max="6472" width="6.875" bestFit="1" customWidth="1"/>
    <col min="6473" max="6473" width="10.25" bestFit="1" customWidth="1"/>
    <col min="6474" max="6474" width="17.875" bestFit="1" customWidth="1"/>
    <col min="6475" max="6475" width="6.875" bestFit="1" customWidth="1"/>
    <col min="6476" max="6476" width="10.25" bestFit="1" customWidth="1"/>
    <col min="6477" max="6479" width="6.875" bestFit="1" customWidth="1"/>
    <col min="6480" max="6480" width="10.25" bestFit="1" customWidth="1"/>
    <col min="6481" max="6481" width="17.875" bestFit="1" customWidth="1"/>
    <col min="6482" max="6482" width="6.875" bestFit="1" customWidth="1"/>
    <col min="6483" max="6483" width="10.25" bestFit="1" customWidth="1"/>
    <col min="6484" max="6486" width="6.875" bestFit="1" customWidth="1"/>
    <col min="6487" max="6487" width="10.25" bestFit="1" customWidth="1"/>
    <col min="6488" max="6488" width="17.875" bestFit="1" customWidth="1"/>
    <col min="6489" max="6489" width="6.875" bestFit="1" customWidth="1"/>
    <col min="6490" max="6490" width="10.25" bestFit="1" customWidth="1"/>
    <col min="6491" max="6493" width="6.875" bestFit="1" customWidth="1"/>
    <col min="6494" max="6494" width="10.25" bestFit="1" customWidth="1"/>
    <col min="6495" max="6495" width="9.25" bestFit="1" customWidth="1"/>
    <col min="6496" max="6496" width="17.875" bestFit="1" customWidth="1"/>
    <col min="6497" max="6497" width="6.875" bestFit="1" customWidth="1"/>
    <col min="6498" max="6498" width="8.875" bestFit="1" customWidth="1"/>
    <col min="6499" max="6501" width="6.875" bestFit="1" customWidth="1"/>
    <col min="6502" max="6502" width="9.25" bestFit="1" customWidth="1"/>
    <col min="6503" max="6503" width="17.875" bestFit="1" customWidth="1"/>
    <col min="6504" max="6504" width="6.875" bestFit="1" customWidth="1"/>
    <col min="6505" max="6505" width="8.875" bestFit="1" customWidth="1"/>
    <col min="6506" max="6508" width="6.875" bestFit="1" customWidth="1"/>
    <col min="6509" max="6509" width="9.25" bestFit="1" customWidth="1"/>
    <col min="6510" max="6510" width="17.875" bestFit="1" customWidth="1"/>
    <col min="6511" max="6511" width="6.875" bestFit="1" customWidth="1"/>
    <col min="6512" max="6512" width="10.25" bestFit="1" customWidth="1"/>
    <col min="6513" max="6515" width="6.875" bestFit="1" customWidth="1"/>
    <col min="6516" max="6516" width="9.25" bestFit="1" customWidth="1"/>
    <col min="6517" max="6517" width="17.875" bestFit="1" customWidth="1"/>
    <col min="6518" max="6518" width="6.875" bestFit="1" customWidth="1"/>
    <col min="6519" max="6519" width="10.25" bestFit="1" customWidth="1"/>
    <col min="6520" max="6522" width="6.875" bestFit="1" customWidth="1"/>
    <col min="6523" max="6523" width="10.25" bestFit="1" customWidth="1"/>
    <col min="6524" max="6524" width="17.875" bestFit="1" customWidth="1"/>
    <col min="6525" max="6525" width="6.875" bestFit="1" customWidth="1"/>
    <col min="6526" max="6526" width="10.25" bestFit="1" customWidth="1"/>
    <col min="6527" max="6529" width="6.875" bestFit="1" customWidth="1"/>
    <col min="6530" max="6530" width="9.25" bestFit="1" customWidth="1"/>
    <col min="6531" max="6531" width="17.875" bestFit="1" customWidth="1"/>
    <col min="6532" max="6532" width="6.875" bestFit="1" customWidth="1"/>
    <col min="6533" max="6533" width="8.875" bestFit="1" customWidth="1"/>
    <col min="6534" max="6536" width="6.875" bestFit="1" customWidth="1"/>
    <col min="6537" max="6537" width="9.25" bestFit="1" customWidth="1"/>
    <col min="6538" max="6538" width="17.875" bestFit="1" customWidth="1"/>
    <col min="6539" max="6539" width="6.875" bestFit="1" customWidth="1"/>
    <col min="6540" max="6540" width="8.875" bestFit="1" customWidth="1"/>
    <col min="6541" max="6543" width="6.875" bestFit="1" customWidth="1"/>
    <col min="6544" max="6544" width="9.25" bestFit="1" customWidth="1"/>
    <col min="6545" max="6545" width="17.875" bestFit="1" customWidth="1"/>
    <col min="6546" max="6546" width="6.875" bestFit="1" customWidth="1"/>
    <col min="6547" max="6547" width="10.25" bestFit="1" customWidth="1"/>
    <col min="6548" max="6550" width="6.875" bestFit="1" customWidth="1"/>
    <col min="6551" max="6551" width="9.25" bestFit="1" customWidth="1"/>
    <col min="6552" max="6552" width="7.875" bestFit="1" customWidth="1"/>
    <col min="6553" max="6553" width="17.875" bestFit="1" customWidth="1"/>
    <col min="6554" max="6554" width="6.875" bestFit="1" customWidth="1"/>
    <col min="6555" max="6555" width="10.25" bestFit="1" customWidth="1"/>
    <col min="6556" max="6558" width="6.875" bestFit="1" customWidth="1"/>
    <col min="6559" max="6559" width="7.875" bestFit="1" customWidth="1"/>
    <col min="6560" max="6560" width="17.875" bestFit="1" customWidth="1"/>
    <col min="6561" max="6561" width="6.875" bestFit="1" customWidth="1"/>
    <col min="6562" max="6562" width="10.25" bestFit="1" customWidth="1"/>
    <col min="6563" max="6565" width="6.875" bestFit="1" customWidth="1"/>
    <col min="6566" max="6566" width="7.875" bestFit="1" customWidth="1"/>
    <col min="6567" max="6567" width="17.875" bestFit="1" customWidth="1"/>
    <col min="6568" max="6568" width="6.875" bestFit="1" customWidth="1"/>
    <col min="6569" max="6569" width="10.25" bestFit="1" customWidth="1"/>
    <col min="6570" max="6572" width="6.875" bestFit="1" customWidth="1"/>
    <col min="6573" max="6573" width="9.25" bestFit="1" customWidth="1"/>
    <col min="6574" max="6574" width="17.875" bestFit="1" customWidth="1"/>
    <col min="6575" max="6575" width="6.875" bestFit="1" customWidth="1"/>
    <col min="6576" max="6576" width="10.25" bestFit="1" customWidth="1"/>
    <col min="6577" max="6579" width="6.875" bestFit="1" customWidth="1"/>
    <col min="6580" max="6580" width="9.25" bestFit="1" customWidth="1"/>
    <col min="6581" max="6581" width="17.875" bestFit="1" customWidth="1"/>
    <col min="6582" max="6582" width="6.875" bestFit="1" customWidth="1"/>
    <col min="6583" max="6583" width="10.25" bestFit="1" customWidth="1"/>
    <col min="6584" max="6586" width="6.875" bestFit="1" customWidth="1"/>
    <col min="6587" max="6587" width="7.875" bestFit="1" customWidth="1"/>
    <col min="6588" max="6588" width="17.875" bestFit="1" customWidth="1"/>
    <col min="6589" max="6589" width="6.875" bestFit="1" customWidth="1"/>
    <col min="6590" max="6590" width="10.25" bestFit="1" customWidth="1"/>
    <col min="6591" max="6593" width="6.875" bestFit="1" customWidth="1"/>
    <col min="6594" max="6594" width="9.25" bestFit="1" customWidth="1"/>
    <col min="6595" max="6595" width="17.875" bestFit="1" customWidth="1"/>
    <col min="6596" max="6596" width="6.875" bestFit="1" customWidth="1"/>
    <col min="6597" max="6597" width="10.25" bestFit="1" customWidth="1"/>
    <col min="6598" max="6600" width="6.875" bestFit="1" customWidth="1"/>
    <col min="6601" max="6601" width="7.875" bestFit="1" customWidth="1"/>
    <col min="6602" max="6602" width="17.875" bestFit="1" customWidth="1"/>
    <col min="6603" max="6603" width="6.875" bestFit="1" customWidth="1"/>
    <col min="6604" max="6604" width="10.25" bestFit="1" customWidth="1"/>
    <col min="6605" max="6607" width="6.875" bestFit="1" customWidth="1"/>
    <col min="6608" max="6608" width="9.25" bestFit="1" customWidth="1"/>
    <col min="6609" max="6609" width="17.875" bestFit="1" customWidth="1"/>
    <col min="6610" max="6610" width="6.875" bestFit="1" customWidth="1"/>
    <col min="6611" max="6611" width="10.25" bestFit="1" customWidth="1"/>
    <col min="6612" max="6614" width="6.875" bestFit="1" customWidth="1"/>
    <col min="6615" max="6615" width="7.875" bestFit="1" customWidth="1"/>
    <col min="6616" max="6617" width="2.5" bestFit="1" customWidth="1"/>
    <col min="6618" max="6618" width="3.5" bestFit="1" customWidth="1"/>
    <col min="6619" max="6620" width="5.875" bestFit="1" customWidth="1"/>
    <col min="6621" max="6621" width="17.875" bestFit="1" customWidth="1"/>
    <col min="6622" max="6622" width="6.875" bestFit="1" customWidth="1"/>
    <col min="6623" max="6623" width="10.25" bestFit="1" customWidth="1"/>
    <col min="6624" max="6626" width="6.875" bestFit="1" customWidth="1"/>
    <col min="6627" max="6627" width="7.875" bestFit="1" customWidth="1"/>
    <col min="6628" max="6630" width="2.5" bestFit="1" customWidth="1"/>
    <col min="6631" max="6631" width="3.5" bestFit="1" customWidth="1"/>
    <col min="6632" max="6633" width="5.875" bestFit="1" customWidth="1"/>
    <col min="6634" max="6634" width="17.875" bestFit="1" customWidth="1"/>
    <col min="6635" max="6635" width="6.875" bestFit="1" customWidth="1"/>
    <col min="6636" max="6636" width="10.25" bestFit="1" customWidth="1"/>
    <col min="6637" max="6639" width="6.875" bestFit="1" customWidth="1"/>
    <col min="6640" max="6640" width="7.875" bestFit="1" customWidth="1"/>
    <col min="6641" max="6643" width="2.5" bestFit="1" customWidth="1"/>
    <col min="6644" max="6644" width="3.5" bestFit="1" customWidth="1"/>
    <col min="6645" max="6646" width="5.875" bestFit="1" customWidth="1"/>
    <col min="6647" max="6647" width="17.875" bestFit="1" customWidth="1"/>
    <col min="6648" max="6648" width="6.875" bestFit="1" customWidth="1"/>
    <col min="6649" max="6649" width="10.25" bestFit="1" customWidth="1"/>
    <col min="6650" max="6652" width="6.875" bestFit="1" customWidth="1"/>
    <col min="6653" max="6653" width="7.875" bestFit="1" customWidth="1"/>
    <col min="6654" max="6656" width="2.5" bestFit="1" customWidth="1"/>
    <col min="6657" max="6657" width="3.5" bestFit="1" customWidth="1"/>
    <col min="6658" max="6659" width="5.875" bestFit="1" customWidth="1"/>
    <col min="6660" max="6660" width="17.875" bestFit="1" customWidth="1"/>
    <col min="6661" max="6661" width="6.875" bestFit="1" customWidth="1"/>
    <col min="6662" max="6662" width="10.25" bestFit="1" customWidth="1"/>
    <col min="6663" max="6665" width="6.875" bestFit="1" customWidth="1"/>
    <col min="6666" max="6666" width="9.25" bestFit="1" customWidth="1"/>
    <col min="6667" max="6669" width="2.5" bestFit="1" customWidth="1"/>
    <col min="6670" max="6670" width="3.5" bestFit="1" customWidth="1"/>
    <col min="6671" max="6672" width="5.875" bestFit="1" customWidth="1"/>
    <col min="6673" max="6673" width="17.875" bestFit="1" customWidth="1"/>
    <col min="6674" max="6674" width="6.875" bestFit="1" customWidth="1"/>
    <col min="6675" max="6675" width="10.25" bestFit="1" customWidth="1"/>
    <col min="6676" max="6678" width="6.875" bestFit="1" customWidth="1"/>
    <col min="6679" max="6679" width="9.25" bestFit="1" customWidth="1"/>
    <col min="6680" max="6682" width="2.5" bestFit="1" customWidth="1"/>
    <col min="6683" max="6683" width="3.5" bestFit="1" customWidth="1"/>
    <col min="6684" max="6685" width="5.875" bestFit="1" customWidth="1"/>
    <col min="6686" max="6686" width="17.875" bestFit="1" customWidth="1"/>
    <col min="6687" max="6687" width="6.875" bestFit="1" customWidth="1"/>
    <col min="6688" max="6688" width="10.25" bestFit="1" customWidth="1"/>
    <col min="6689" max="6691" width="6.875" bestFit="1" customWidth="1"/>
    <col min="6692" max="6692" width="7.875" bestFit="1" customWidth="1"/>
    <col min="6693" max="6695" width="2.5" bestFit="1" customWidth="1"/>
    <col min="6696" max="6696" width="3.5" bestFit="1" customWidth="1"/>
    <col min="6697" max="6698" width="5.875" bestFit="1" customWidth="1"/>
    <col min="6699" max="6699" width="17.875" bestFit="1" customWidth="1"/>
    <col min="6700" max="6700" width="6.875" bestFit="1" customWidth="1"/>
    <col min="6701" max="6701" width="10.25" bestFit="1" customWidth="1"/>
    <col min="6702" max="6704" width="6.875" bestFit="1" customWidth="1"/>
    <col min="6705" max="6705" width="9.25" bestFit="1" customWidth="1"/>
    <col min="6706" max="6708" width="2.5" bestFit="1" customWidth="1"/>
    <col min="6709" max="6709" width="3.5" bestFit="1" customWidth="1"/>
    <col min="6710" max="6711" width="5.875" bestFit="1" customWidth="1"/>
    <col min="6712" max="6712" width="17.875" bestFit="1" customWidth="1"/>
    <col min="6713" max="6713" width="6.875" bestFit="1" customWidth="1"/>
    <col min="6714" max="6714" width="10.25" bestFit="1" customWidth="1"/>
    <col min="6715" max="6717" width="6.875" bestFit="1" customWidth="1"/>
    <col min="6718" max="6718" width="7.875" bestFit="1" customWidth="1"/>
    <col min="6719" max="6721" width="2.5" bestFit="1" customWidth="1"/>
    <col min="6722" max="6722" width="3.5" bestFit="1" customWidth="1"/>
    <col min="6723" max="6724" width="5.875" bestFit="1" customWidth="1"/>
    <col min="6725" max="6725" width="17.875" bestFit="1" customWidth="1"/>
    <col min="6726" max="6726" width="6.875" bestFit="1" customWidth="1"/>
    <col min="6727" max="6727" width="10.25" bestFit="1" customWidth="1"/>
    <col min="6728" max="6730" width="6.875" bestFit="1" customWidth="1"/>
    <col min="6731" max="6731" width="9.25" bestFit="1" customWidth="1"/>
    <col min="6732" max="6734" width="2.5" bestFit="1" customWidth="1"/>
    <col min="6735" max="6735" width="3.5" bestFit="1" customWidth="1"/>
    <col min="6736" max="6737" width="5.875" bestFit="1" customWidth="1"/>
    <col min="6738" max="6738" width="9.25" bestFit="1" customWidth="1"/>
    <col min="6739" max="6739" width="17.875" bestFit="1" customWidth="1"/>
    <col min="6740" max="6740" width="7.875" bestFit="1" customWidth="1"/>
    <col min="6741" max="6741" width="11.375" bestFit="1" customWidth="1"/>
    <col min="6742" max="6744" width="7.875" bestFit="1" customWidth="1"/>
    <col min="6745" max="6745" width="10.25" bestFit="1" customWidth="1"/>
    <col min="6746" max="6746" width="17.875" bestFit="1" customWidth="1"/>
    <col min="6747" max="6747" width="7.875" bestFit="1" customWidth="1"/>
    <col min="6748" max="6748" width="11.375" bestFit="1" customWidth="1"/>
    <col min="6749" max="6751" width="7.875" bestFit="1" customWidth="1"/>
    <col min="6752" max="6752" width="9.25" bestFit="1" customWidth="1"/>
    <col min="6753" max="6753" width="17.875" bestFit="1" customWidth="1"/>
    <col min="6754" max="6754" width="7.875" bestFit="1" customWidth="1"/>
    <col min="6755" max="6755" width="11.375" bestFit="1" customWidth="1"/>
    <col min="6756" max="6757" width="7.875" bestFit="1" customWidth="1"/>
    <col min="6758" max="6758" width="6.875" bestFit="1" customWidth="1"/>
    <col min="6759" max="6759" width="9.25" bestFit="1" customWidth="1"/>
    <col min="6760" max="6760" width="17.875" bestFit="1" customWidth="1"/>
    <col min="6761" max="6761" width="6.875" bestFit="1" customWidth="1"/>
    <col min="6762" max="6762" width="11.375" bestFit="1" customWidth="1"/>
    <col min="6763" max="6765" width="6.875" bestFit="1" customWidth="1"/>
    <col min="6766" max="6766" width="10.25" bestFit="1" customWidth="1"/>
    <col min="6767" max="6767" width="17.875" bestFit="1" customWidth="1"/>
    <col min="6768" max="6768" width="7.875" bestFit="1" customWidth="1"/>
    <col min="6769" max="6769" width="11.375" bestFit="1" customWidth="1"/>
    <col min="6770" max="6772" width="7.875" bestFit="1" customWidth="1"/>
    <col min="6773" max="6773" width="10.25" bestFit="1" customWidth="1"/>
    <col min="6774" max="6774" width="17.875" bestFit="1" customWidth="1"/>
    <col min="6775" max="6775" width="6.875" bestFit="1" customWidth="1"/>
    <col min="6776" max="6776" width="11.375" bestFit="1" customWidth="1"/>
    <col min="6777" max="6779" width="6.875" bestFit="1" customWidth="1"/>
    <col min="6780" max="6780" width="10.25" bestFit="1" customWidth="1"/>
    <col min="6781" max="6781" width="17.875" bestFit="1" customWidth="1"/>
    <col min="6782" max="6782" width="6.875" bestFit="1" customWidth="1"/>
    <col min="6783" max="6783" width="10.25" bestFit="1" customWidth="1"/>
    <col min="6784" max="6786" width="6.875" bestFit="1" customWidth="1"/>
    <col min="6787" max="6787" width="10.25" bestFit="1" customWidth="1"/>
    <col min="6788" max="6788" width="17.875" bestFit="1" customWidth="1"/>
    <col min="6789" max="6789" width="6.875" bestFit="1" customWidth="1"/>
    <col min="6790" max="6790" width="10.25" bestFit="1" customWidth="1"/>
    <col min="6791" max="6793" width="6.875" bestFit="1" customWidth="1"/>
    <col min="6794" max="6794" width="10.25" bestFit="1" customWidth="1"/>
    <col min="6795" max="6795" width="7.875" bestFit="1" customWidth="1"/>
    <col min="6796" max="6796" width="17.875" bestFit="1" customWidth="1"/>
    <col min="6797" max="6797" width="7.875" bestFit="1" customWidth="1"/>
    <col min="6798" max="6798" width="11.375" bestFit="1" customWidth="1"/>
    <col min="6799" max="6801" width="7.875" bestFit="1" customWidth="1"/>
    <col min="6802" max="6802" width="9.25" bestFit="1" customWidth="1"/>
    <col min="6803" max="6803" width="17.875" bestFit="1" customWidth="1"/>
    <col min="6804" max="6804" width="7.875" bestFit="1" customWidth="1"/>
    <col min="6805" max="6805" width="10.25" bestFit="1" customWidth="1"/>
    <col min="6806" max="6809" width="7.875" bestFit="1" customWidth="1"/>
    <col min="6810" max="6810" width="17.875" bestFit="1" customWidth="1"/>
    <col min="6811" max="6811" width="7.875" bestFit="1" customWidth="1"/>
    <col min="6812" max="6812" width="11.375" bestFit="1" customWidth="1"/>
    <col min="6813" max="6815" width="7.875" bestFit="1" customWidth="1"/>
    <col min="6816" max="6816" width="9.25" bestFit="1" customWidth="1"/>
    <col min="6817" max="6817" width="17.875" bestFit="1" customWidth="1"/>
    <col min="6818" max="6818" width="7.875" bestFit="1" customWidth="1"/>
    <col min="6819" max="6819" width="11.375" bestFit="1" customWidth="1"/>
    <col min="6820" max="6822" width="7.875" bestFit="1" customWidth="1"/>
    <col min="6823" max="6823" width="9.25" bestFit="1" customWidth="1"/>
    <col min="6824" max="6824" width="17.875" bestFit="1" customWidth="1"/>
    <col min="6825" max="6825" width="6.875" bestFit="1" customWidth="1"/>
    <col min="6826" max="6826" width="10.25" bestFit="1" customWidth="1"/>
    <col min="6827" max="6828" width="7.875" bestFit="1" customWidth="1"/>
    <col min="6829" max="6829" width="6.875" bestFit="1" customWidth="1"/>
    <col min="6830" max="6830" width="7.875" bestFit="1" customWidth="1"/>
    <col min="6831" max="6831" width="17.875" bestFit="1" customWidth="1"/>
    <col min="6832" max="6832" width="6.875" bestFit="1" customWidth="1"/>
    <col min="6833" max="6833" width="10.25" bestFit="1" customWidth="1"/>
    <col min="6834" max="6835" width="7.875" bestFit="1" customWidth="1"/>
    <col min="6836" max="6836" width="6.875" bestFit="1" customWidth="1"/>
    <col min="6837" max="6837" width="7.875" bestFit="1" customWidth="1"/>
    <col min="6838" max="6838" width="17.875" bestFit="1" customWidth="1"/>
    <col min="6839" max="6839" width="6.875" bestFit="1" customWidth="1"/>
    <col min="6840" max="6840" width="10.25" bestFit="1" customWidth="1"/>
    <col min="6841" max="6842" width="7.875" bestFit="1" customWidth="1"/>
    <col min="6843" max="6843" width="6.875" bestFit="1" customWidth="1"/>
    <col min="6844" max="6844" width="7.875" bestFit="1" customWidth="1"/>
    <col min="6845" max="6845" width="17.875" bestFit="1" customWidth="1"/>
    <col min="6846" max="6846" width="6.875" bestFit="1" customWidth="1"/>
    <col min="6847" max="6847" width="10.25" bestFit="1" customWidth="1"/>
    <col min="6848" max="6850" width="6.875" bestFit="1" customWidth="1"/>
    <col min="6851" max="6851" width="7.875" bestFit="1" customWidth="1"/>
    <col min="6852" max="6852" width="9.25" bestFit="1" customWidth="1"/>
    <col min="6853" max="6853" width="17.875" bestFit="1" customWidth="1"/>
    <col min="6854" max="6854" width="6.875" bestFit="1" customWidth="1"/>
    <col min="6855" max="6855" width="11.375" bestFit="1" customWidth="1"/>
    <col min="6856" max="6858" width="6.875" bestFit="1" customWidth="1"/>
    <col min="6859" max="6859" width="9.25" bestFit="1" customWidth="1"/>
    <col min="6860" max="6860" width="17.875" bestFit="1" customWidth="1"/>
    <col min="6861" max="6861" width="6.875" bestFit="1" customWidth="1"/>
    <col min="6862" max="6862" width="10.25" bestFit="1" customWidth="1"/>
    <col min="6863" max="6865" width="6.875" bestFit="1" customWidth="1"/>
    <col min="6866" max="6866" width="9.25" bestFit="1" customWidth="1"/>
    <col min="6867" max="6867" width="17.875" bestFit="1" customWidth="1"/>
    <col min="6868" max="6868" width="6.875" bestFit="1" customWidth="1"/>
    <col min="6869" max="6869" width="10.25" bestFit="1" customWidth="1"/>
    <col min="6870" max="6872" width="6.875" bestFit="1" customWidth="1"/>
    <col min="6873" max="6873" width="7.875" bestFit="1" customWidth="1"/>
    <col min="6874" max="6874" width="17.875" bestFit="1" customWidth="1"/>
    <col min="6875" max="6875" width="6.875" bestFit="1" customWidth="1"/>
    <col min="6876" max="6876" width="10.25" bestFit="1" customWidth="1"/>
    <col min="6877" max="6879" width="6.875" bestFit="1" customWidth="1"/>
    <col min="6880" max="6880" width="7.875" bestFit="1" customWidth="1"/>
    <col min="6881" max="6881" width="17.875" bestFit="1" customWidth="1"/>
    <col min="6882" max="6882" width="6.875" bestFit="1" customWidth="1"/>
    <col min="6883" max="6883" width="10.25" bestFit="1" customWidth="1"/>
    <col min="6884" max="6886" width="6.875" bestFit="1" customWidth="1"/>
    <col min="6887" max="6887" width="7.875" bestFit="1" customWidth="1"/>
    <col min="6888" max="6888" width="17.875" bestFit="1" customWidth="1"/>
    <col min="6889" max="6889" width="6.875" bestFit="1" customWidth="1"/>
    <col min="6890" max="6890" width="10.25" bestFit="1" customWidth="1"/>
    <col min="6891" max="6893" width="6.875" bestFit="1" customWidth="1"/>
    <col min="6894" max="6894" width="7.875" bestFit="1" customWidth="1"/>
    <col min="6895" max="6895" width="17.875" bestFit="1" customWidth="1"/>
    <col min="6896" max="6896" width="6.875" bestFit="1" customWidth="1"/>
    <col min="6897" max="6897" width="10.25" bestFit="1" customWidth="1"/>
    <col min="6898" max="6900" width="6.875" bestFit="1" customWidth="1"/>
    <col min="6901" max="6901" width="7.875" bestFit="1" customWidth="1"/>
    <col min="6902" max="6902" width="17.875" bestFit="1" customWidth="1"/>
    <col min="6903" max="6903" width="6.875" bestFit="1" customWidth="1"/>
    <col min="6904" max="6904" width="10.25" bestFit="1" customWidth="1"/>
    <col min="6905" max="6907" width="6.875" bestFit="1" customWidth="1"/>
    <col min="6908" max="6909" width="9.25" bestFit="1" customWidth="1"/>
    <col min="6910" max="6910" width="17.875" bestFit="1" customWidth="1"/>
    <col min="6911" max="6911" width="5.875" bestFit="1" customWidth="1"/>
    <col min="6912" max="6912" width="8.875" bestFit="1" customWidth="1"/>
    <col min="6913" max="6915" width="5.875" bestFit="1" customWidth="1"/>
    <col min="6916" max="6916" width="10.25" bestFit="1" customWidth="1"/>
    <col min="6917" max="6917" width="17.875" bestFit="1" customWidth="1"/>
    <col min="6918" max="6918" width="5.875" bestFit="1" customWidth="1"/>
    <col min="6919" max="6919" width="8.875" bestFit="1" customWidth="1"/>
    <col min="6920" max="6922" width="5.875" bestFit="1" customWidth="1"/>
    <col min="6923" max="6923" width="10.25" bestFit="1" customWidth="1"/>
    <col min="6924" max="6924" width="17.875" bestFit="1" customWidth="1"/>
    <col min="6925" max="6925" width="5.875" bestFit="1" customWidth="1"/>
    <col min="6926" max="6926" width="8.875" bestFit="1" customWidth="1"/>
    <col min="6927" max="6929" width="5.875" bestFit="1" customWidth="1"/>
    <col min="6930" max="6930" width="10.25" bestFit="1" customWidth="1"/>
    <col min="6931" max="6931" width="17.875" bestFit="1" customWidth="1"/>
    <col min="6932" max="6932" width="5.875" bestFit="1" customWidth="1"/>
    <col min="6933" max="6933" width="8.875" bestFit="1" customWidth="1"/>
    <col min="6934" max="6936" width="5.875" bestFit="1" customWidth="1"/>
    <col min="6937" max="6937" width="9.25" bestFit="1" customWidth="1"/>
    <col min="6938" max="6938" width="17.875" bestFit="1" customWidth="1"/>
    <col min="6939" max="6939" width="5.875" bestFit="1" customWidth="1"/>
    <col min="6940" max="6940" width="8.875" bestFit="1" customWidth="1"/>
    <col min="6941" max="6943" width="5.875" bestFit="1" customWidth="1"/>
    <col min="6944" max="6944" width="10.25" bestFit="1" customWidth="1"/>
    <col min="6945" max="6945" width="17.875" bestFit="1" customWidth="1"/>
    <col min="6946" max="6946" width="5.875" bestFit="1" customWidth="1"/>
    <col min="6947" max="6947" width="8.875" bestFit="1" customWidth="1"/>
    <col min="6948" max="6950" width="5.875" bestFit="1" customWidth="1"/>
    <col min="6951" max="6951" width="10.25" bestFit="1" customWidth="1"/>
    <col min="6952" max="6952" width="17.875" bestFit="1" customWidth="1"/>
    <col min="6953" max="6953" width="5.875" bestFit="1" customWidth="1"/>
    <col min="6954" max="6954" width="10.25" bestFit="1" customWidth="1"/>
    <col min="6955" max="6957" width="5.875" bestFit="1" customWidth="1"/>
    <col min="6958" max="6958" width="10.25" bestFit="1" customWidth="1"/>
    <col min="6959" max="6959" width="17.875" bestFit="1" customWidth="1"/>
    <col min="6960" max="6960" width="5.875" bestFit="1" customWidth="1"/>
    <col min="6961" max="6961" width="8.875" bestFit="1" customWidth="1"/>
    <col min="6962" max="6964" width="5.875" bestFit="1" customWidth="1"/>
    <col min="6965" max="6965" width="10.25" bestFit="1" customWidth="1"/>
    <col min="6966" max="6966" width="9.25" bestFit="1" customWidth="1"/>
    <col min="6967" max="6967" width="17.875" bestFit="1" customWidth="1"/>
    <col min="6968" max="6968" width="5.875" bestFit="1" customWidth="1"/>
    <col min="6969" max="6969" width="8.875" bestFit="1" customWidth="1"/>
    <col min="6970" max="6972" width="5.875" bestFit="1" customWidth="1"/>
    <col min="6973" max="6973" width="10.25" bestFit="1" customWidth="1"/>
    <col min="6974" max="6974" width="17.875" bestFit="1" customWidth="1"/>
    <col min="6975" max="6975" width="5.875" bestFit="1" customWidth="1"/>
    <col min="6976" max="6976" width="8.875" bestFit="1" customWidth="1"/>
    <col min="6977" max="6979" width="5.875" bestFit="1" customWidth="1"/>
    <col min="6980" max="6980" width="10.25" bestFit="1" customWidth="1"/>
    <col min="6981" max="6981" width="17.875" bestFit="1" customWidth="1"/>
    <col min="6982" max="6982" width="5.875" bestFit="1" customWidth="1"/>
    <col min="6983" max="6983" width="8.875" bestFit="1" customWidth="1"/>
    <col min="6984" max="6986" width="5.875" bestFit="1" customWidth="1"/>
    <col min="6987" max="6987" width="10.25" bestFit="1" customWidth="1"/>
    <col min="6988" max="6988" width="17.875" bestFit="1" customWidth="1"/>
    <col min="6989" max="6989" width="5.875" bestFit="1" customWidth="1"/>
    <col min="6990" max="6990" width="8.875" bestFit="1" customWidth="1"/>
    <col min="6991" max="6993" width="5.875" bestFit="1" customWidth="1"/>
    <col min="6994" max="6994" width="9.25" bestFit="1" customWidth="1"/>
    <col min="6995" max="6995" width="17.875" bestFit="1" customWidth="1"/>
    <col min="6996" max="6996" width="5.875" bestFit="1" customWidth="1"/>
    <col min="6997" max="6997" width="8.875" bestFit="1" customWidth="1"/>
    <col min="6998" max="7000" width="5.875" bestFit="1" customWidth="1"/>
    <col min="7001" max="7001" width="10.25" bestFit="1" customWidth="1"/>
    <col min="7002" max="7002" width="17.875" bestFit="1" customWidth="1"/>
    <col min="7003" max="7003" width="5.875" bestFit="1" customWidth="1"/>
    <col min="7004" max="7004" width="8.875" bestFit="1" customWidth="1"/>
    <col min="7005" max="7007" width="5.875" bestFit="1" customWidth="1"/>
    <col min="7008" max="7008" width="10.25" bestFit="1" customWidth="1"/>
    <col min="7009" max="7009" width="17.875" bestFit="1" customWidth="1"/>
    <col min="7010" max="7010" width="5.875" bestFit="1" customWidth="1"/>
    <col min="7011" max="7011" width="10.25" bestFit="1" customWidth="1"/>
    <col min="7012" max="7014" width="5.875" bestFit="1" customWidth="1"/>
    <col min="7015" max="7015" width="10.25" bestFit="1" customWidth="1"/>
    <col min="7016" max="7016" width="17.875" bestFit="1" customWidth="1"/>
    <col min="7017" max="7017" width="5.875" bestFit="1" customWidth="1"/>
    <col min="7018" max="7018" width="8.875" bestFit="1" customWidth="1"/>
    <col min="7019" max="7021" width="5.875" bestFit="1" customWidth="1"/>
    <col min="7022" max="7022" width="10.25" bestFit="1" customWidth="1"/>
    <col min="7023" max="7023" width="9.25" bestFit="1" customWidth="1"/>
    <col min="7024" max="7024" width="17.875" bestFit="1" customWidth="1"/>
    <col min="7025" max="7025" width="5.25" bestFit="1" customWidth="1"/>
    <col min="7026" max="7026" width="8.875" bestFit="1" customWidth="1"/>
    <col min="7027" max="7029" width="5.25" bestFit="1" customWidth="1"/>
    <col min="7030" max="7030" width="9.25" bestFit="1" customWidth="1"/>
    <col min="7031" max="7031" width="17.875" bestFit="1" customWidth="1"/>
    <col min="7032" max="7032" width="5.25" bestFit="1" customWidth="1"/>
    <col min="7033" max="7033" width="8.875" bestFit="1" customWidth="1"/>
    <col min="7034" max="7034" width="5.25" bestFit="1" customWidth="1"/>
    <col min="7035" max="7035" width="5.875" bestFit="1" customWidth="1"/>
    <col min="7036" max="7036" width="5.25" bestFit="1" customWidth="1"/>
    <col min="7037" max="7037" width="10.25" bestFit="1" customWidth="1"/>
    <col min="7038" max="7038" width="17.875" bestFit="1" customWidth="1"/>
    <col min="7039" max="7039" width="5.25" bestFit="1" customWidth="1"/>
    <col min="7040" max="7040" width="7.875" bestFit="1" customWidth="1"/>
    <col min="7041" max="7043" width="5.25" bestFit="1" customWidth="1"/>
    <col min="7044" max="7044" width="7.875" bestFit="1" customWidth="1"/>
    <col min="7045" max="7045" width="17.875" bestFit="1" customWidth="1"/>
    <col min="7046" max="7046" width="5.25" bestFit="1" customWidth="1"/>
    <col min="7047" max="7047" width="7.875" bestFit="1" customWidth="1"/>
    <col min="7048" max="7050" width="5.25" bestFit="1" customWidth="1"/>
    <col min="7051" max="7051" width="7.875" bestFit="1" customWidth="1"/>
    <col min="7052" max="7052" width="17.875" bestFit="1" customWidth="1"/>
    <col min="7053" max="7053" width="5.25" bestFit="1" customWidth="1"/>
    <col min="7054" max="7054" width="7.875" bestFit="1" customWidth="1"/>
    <col min="7055" max="7057" width="5.25" bestFit="1" customWidth="1"/>
    <col min="7058" max="7058" width="7.875" bestFit="1" customWidth="1"/>
    <col min="7059" max="7059" width="17.875" bestFit="1" customWidth="1"/>
    <col min="7060" max="7060" width="5.25" bestFit="1" customWidth="1"/>
    <col min="7061" max="7061" width="7.875" bestFit="1" customWidth="1"/>
    <col min="7062" max="7064" width="5.25" bestFit="1" customWidth="1"/>
    <col min="7065" max="7065" width="7.875" bestFit="1" customWidth="1"/>
    <col min="7066" max="7066" width="17.875" bestFit="1" customWidth="1"/>
    <col min="7067" max="7067" width="5.25" bestFit="1" customWidth="1"/>
    <col min="7068" max="7068" width="7.875" bestFit="1" customWidth="1"/>
    <col min="7069" max="7071" width="5.25" bestFit="1" customWidth="1"/>
    <col min="7072" max="7072" width="7.875" bestFit="1" customWidth="1"/>
    <col min="7073" max="7073" width="17.875" bestFit="1" customWidth="1"/>
    <col min="7074" max="7074" width="5.25" bestFit="1" customWidth="1"/>
    <col min="7075" max="7075" width="7.875" bestFit="1" customWidth="1"/>
    <col min="7076" max="7078" width="5.25" bestFit="1" customWidth="1"/>
    <col min="7079" max="7080" width="7.875" bestFit="1" customWidth="1"/>
    <col min="7081" max="7081" width="17.875" bestFit="1" customWidth="1"/>
    <col min="7082" max="7082" width="5.25" bestFit="1" customWidth="1"/>
    <col min="7083" max="7083" width="8.875" bestFit="1" customWidth="1"/>
    <col min="7084" max="7086" width="5.25" bestFit="1" customWidth="1"/>
    <col min="7087" max="7087" width="10.25" bestFit="1" customWidth="1"/>
    <col min="7088" max="7088" width="17.875" bestFit="1" customWidth="1"/>
    <col min="7089" max="7089" width="5.25" bestFit="1" customWidth="1"/>
    <col min="7090" max="7090" width="8.875" bestFit="1" customWidth="1"/>
    <col min="7091" max="7091" width="5.25" bestFit="1" customWidth="1"/>
    <col min="7092" max="7092" width="5.875" bestFit="1" customWidth="1"/>
    <col min="7093" max="7093" width="5.25" bestFit="1" customWidth="1"/>
    <col min="7094" max="7094" width="10.25" bestFit="1" customWidth="1"/>
    <col min="7095" max="7095" width="17.875" bestFit="1" customWidth="1"/>
    <col min="7096" max="7096" width="5.25" bestFit="1" customWidth="1"/>
    <col min="7097" max="7097" width="7.875" bestFit="1" customWidth="1"/>
    <col min="7098" max="7100" width="5.25" bestFit="1" customWidth="1"/>
    <col min="7101" max="7101" width="7.875" bestFit="1" customWidth="1"/>
    <col min="7102" max="7102" width="17.875" bestFit="1" customWidth="1"/>
    <col min="7103" max="7103" width="5.25" bestFit="1" customWidth="1"/>
    <col min="7104" max="7104" width="7.875" bestFit="1" customWidth="1"/>
    <col min="7105" max="7107" width="5.25" bestFit="1" customWidth="1"/>
    <col min="7108" max="7108" width="7.875" bestFit="1" customWidth="1"/>
    <col min="7109" max="7109" width="17.875" bestFit="1" customWidth="1"/>
    <col min="7110" max="7110" width="5.25" bestFit="1" customWidth="1"/>
    <col min="7111" max="7111" width="7.875" bestFit="1" customWidth="1"/>
    <col min="7112" max="7114" width="5.25" bestFit="1" customWidth="1"/>
    <col min="7115" max="7115" width="7.125" bestFit="1" customWidth="1"/>
    <col min="7116" max="7116" width="17.875" bestFit="1" customWidth="1"/>
    <col min="7117" max="7117" width="5.25" bestFit="1" customWidth="1"/>
    <col min="7118" max="7118" width="7.875" bestFit="1" customWidth="1"/>
    <col min="7119" max="7121" width="5.25" bestFit="1" customWidth="1"/>
    <col min="7122" max="7122" width="7.875" bestFit="1" customWidth="1"/>
    <col min="7123" max="7123" width="17.875" bestFit="1" customWidth="1"/>
    <col min="7124" max="7124" width="5.25" bestFit="1" customWidth="1"/>
    <col min="7125" max="7125" width="7.875" bestFit="1" customWidth="1"/>
    <col min="7126" max="7128" width="5.25" bestFit="1" customWidth="1"/>
    <col min="7129" max="7129" width="7.875" bestFit="1" customWidth="1"/>
    <col min="7130" max="7130" width="17.875" bestFit="1" customWidth="1"/>
    <col min="7131" max="7131" width="5.25" bestFit="1" customWidth="1"/>
    <col min="7132" max="7132" width="7.875" bestFit="1" customWidth="1"/>
    <col min="7133" max="7135" width="5.25" bestFit="1" customWidth="1"/>
    <col min="7136" max="7137" width="7.875" bestFit="1" customWidth="1"/>
    <col min="7138" max="7138" width="17.875" bestFit="1" customWidth="1"/>
    <col min="7139" max="7139" width="5.25" bestFit="1" customWidth="1"/>
    <col min="7140" max="7140" width="8.875" bestFit="1" customWidth="1"/>
    <col min="7141" max="7143" width="5.25" bestFit="1" customWidth="1"/>
    <col min="7144" max="7144" width="10.25" bestFit="1" customWidth="1"/>
    <col min="7145" max="7145" width="17.875" bestFit="1" customWidth="1"/>
    <col min="7146" max="7146" width="5.25" bestFit="1" customWidth="1"/>
    <col min="7147" max="7147" width="8.875" bestFit="1" customWidth="1"/>
    <col min="7148" max="7148" width="5.25" bestFit="1" customWidth="1"/>
    <col min="7149" max="7149" width="5.875" bestFit="1" customWidth="1"/>
    <col min="7150" max="7150" width="5.25" bestFit="1" customWidth="1"/>
    <col min="7151" max="7151" width="10.25" bestFit="1" customWidth="1"/>
    <col min="7152" max="7152" width="17.875" bestFit="1" customWidth="1"/>
    <col min="7153" max="7153" width="5.25" bestFit="1" customWidth="1"/>
    <col min="7154" max="7154" width="7.875" bestFit="1" customWidth="1"/>
    <col min="7155" max="7157" width="5.25" bestFit="1" customWidth="1"/>
    <col min="7158" max="7158" width="7.875" bestFit="1" customWidth="1"/>
    <col min="7159" max="7159" width="17.875" bestFit="1" customWidth="1"/>
    <col min="7160" max="7160" width="5.25" bestFit="1" customWidth="1"/>
    <col min="7161" max="7161" width="7.875" bestFit="1" customWidth="1"/>
    <col min="7162" max="7164" width="5.25" bestFit="1" customWidth="1"/>
    <col min="7165" max="7165" width="7.875" bestFit="1" customWidth="1"/>
    <col min="7166" max="7166" width="17.875" bestFit="1" customWidth="1"/>
    <col min="7167" max="7167" width="5.25" bestFit="1" customWidth="1"/>
    <col min="7168" max="7168" width="7.875" bestFit="1" customWidth="1"/>
    <col min="7169" max="7171" width="5.25" bestFit="1" customWidth="1"/>
    <col min="7172" max="7172" width="7.125" bestFit="1" customWidth="1"/>
    <col min="7173" max="7173" width="17.875" bestFit="1" customWidth="1"/>
    <col min="7174" max="7174" width="5.25" bestFit="1" customWidth="1"/>
    <col min="7175" max="7175" width="7.875" bestFit="1" customWidth="1"/>
    <col min="7176" max="7178" width="5.25" bestFit="1" customWidth="1"/>
    <col min="7179" max="7179" width="7.875" bestFit="1" customWidth="1"/>
    <col min="7180" max="7180" width="17.875" bestFit="1" customWidth="1"/>
    <col min="7181" max="7181" width="5.25" bestFit="1" customWidth="1"/>
    <col min="7182" max="7182" width="7.875" bestFit="1" customWidth="1"/>
    <col min="7183" max="7185" width="5.25" bestFit="1" customWidth="1"/>
    <col min="7186" max="7186" width="7.875" bestFit="1" customWidth="1"/>
    <col min="7187" max="7187" width="17.875" bestFit="1" customWidth="1"/>
    <col min="7188" max="7188" width="5.25" bestFit="1" customWidth="1"/>
    <col min="7189" max="7189" width="7.875" bestFit="1" customWidth="1"/>
    <col min="7190" max="7192" width="5.25" bestFit="1" customWidth="1"/>
    <col min="7193" max="7194" width="7.875" bestFit="1" customWidth="1"/>
    <col min="7195" max="7195" width="17.875" bestFit="1" customWidth="1"/>
    <col min="7196" max="7196" width="5.25" bestFit="1" customWidth="1"/>
    <col min="7197" max="7197" width="8.875" bestFit="1" customWidth="1"/>
    <col min="7198" max="7200" width="5.25" bestFit="1" customWidth="1"/>
    <col min="7201" max="7201" width="10.25" bestFit="1" customWidth="1"/>
    <col min="7202" max="7202" width="17.875" bestFit="1" customWidth="1"/>
    <col min="7203" max="7203" width="5.25" bestFit="1" customWidth="1"/>
    <col min="7204" max="7204" width="8.875" bestFit="1" customWidth="1"/>
    <col min="7205" max="7205" width="5.25" bestFit="1" customWidth="1"/>
    <col min="7206" max="7206" width="5.875" bestFit="1" customWidth="1"/>
    <col min="7207" max="7207" width="5.25" bestFit="1" customWidth="1"/>
    <col min="7208" max="7208" width="10.25" bestFit="1" customWidth="1"/>
    <col min="7209" max="7209" width="17.875" bestFit="1" customWidth="1"/>
    <col min="7210" max="7210" width="5.25" bestFit="1" customWidth="1"/>
    <col min="7211" max="7211" width="7.875" bestFit="1" customWidth="1"/>
    <col min="7212" max="7214" width="5.25" bestFit="1" customWidth="1"/>
    <col min="7215" max="7215" width="7.875" bestFit="1" customWidth="1"/>
    <col min="7216" max="7216" width="17.875" bestFit="1" customWidth="1"/>
    <col min="7217" max="7217" width="5.25" bestFit="1" customWidth="1"/>
    <col min="7218" max="7218" width="7.875" bestFit="1" customWidth="1"/>
    <col min="7219" max="7221" width="5.25" bestFit="1" customWidth="1"/>
    <col min="7222" max="7222" width="7.875" bestFit="1" customWidth="1"/>
    <col min="7223" max="7223" width="17.875" bestFit="1" customWidth="1"/>
    <col min="7224" max="7224" width="5.25" bestFit="1" customWidth="1"/>
    <col min="7225" max="7225" width="7.875" bestFit="1" customWidth="1"/>
    <col min="7226" max="7228" width="5.25" bestFit="1" customWidth="1"/>
    <col min="7229" max="7229" width="7.125" bestFit="1" customWidth="1"/>
    <col min="7230" max="7230" width="17.875" bestFit="1" customWidth="1"/>
    <col min="7231" max="7231" width="5.25" bestFit="1" customWidth="1"/>
    <col min="7232" max="7232" width="7.875" bestFit="1" customWidth="1"/>
    <col min="7233" max="7235" width="5.25" bestFit="1" customWidth="1"/>
    <col min="7236" max="7236" width="7.875" bestFit="1" customWidth="1"/>
    <col min="7237" max="7237" width="17.875" bestFit="1" customWidth="1"/>
    <col min="7238" max="7238" width="5.25" bestFit="1" customWidth="1"/>
    <col min="7239" max="7239" width="7.875" bestFit="1" customWidth="1"/>
    <col min="7240" max="7242" width="5.25" bestFit="1" customWidth="1"/>
    <col min="7243" max="7243" width="7.875" bestFit="1" customWidth="1"/>
    <col min="7244" max="7244" width="17.875" bestFit="1" customWidth="1"/>
    <col min="7245" max="7245" width="5.25" bestFit="1" customWidth="1"/>
    <col min="7246" max="7246" width="7.875" bestFit="1" customWidth="1"/>
    <col min="7247" max="7249" width="5.25" bestFit="1" customWidth="1"/>
    <col min="7250" max="7250" width="7.875" bestFit="1" customWidth="1"/>
    <col min="7251" max="7251" width="7.125" bestFit="1" customWidth="1"/>
    <col min="7252" max="7252" width="17.875" bestFit="1" customWidth="1"/>
    <col min="7253" max="7253" width="5.875" bestFit="1" customWidth="1"/>
    <col min="7254" max="7254" width="8.875" bestFit="1" customWidth="1"/>
    <col min="7255" max="7257" width="5.875" bestFit="1" customWidth="1"/>
    <col min="7258" max="7258" width="7.875" bestFit="1" customWidth="1"/>
    <col min="7259" max="7259" width="17.875" bestFit="1" customWidth="1"/>
    <col min="7260" max="7260" width="5.875" bestFit="1" customWidth="1"/>
    <col min="7261" max="7261" width="8.875" bestFit="1" customWidth="1"/>
    <col min="7262" max="7264" width="5.875" bestFit="1" customWidth="1"/>
    <col min="7265" max="7265" width="7.875" bestFit="1" customWidth="1"/>
    <col min="7266" max="7266" width="17.875" bestFit="1" customWidth="1"/>
    <col min="7267" max="7267" width="5.875" bestFit="1" customWidth="1"/>
    <col min="7268" max="7268" width="8.875" bestFit="1" customWidth="1"/>
    <col min="7269" max="7271" width="5.875" bestFit="1" customWidth="1"/>
    <col min="7272" max="7272" width="7.875" bestFit="1" customWidth="1"/>
    <col min="7273" max="7273" width="17.875" bestFit="1" customWidth="1"/>
    <col min="7274" max="7274" width="5.875" bestFit="1" customWidth="1"/>
    <col min="7275" max="7275" width="7.875" bestFit="1" customWidth="1"/>
    <col min="7276" max="7278" width="5.875" bestFit="1" customWidth="1"/>
    <col min="7279" max="7279" width="7.125" bestFit="1" customWidth="1"/>
    <col min="7280" max="7280" width="17.875" bestFit="1" customWidth="1"/>
    <col min="7281" max="7281" width="5.875" bestFit="1" customWidth="1"/>
    <col min="7282" max="7282" width="8.875" bestFit="1" customWidth="1"/>
    <col min="7283" max="7285" width="5.875" bestFit="1" customWidth="1"/>
    <col min="7286" max="7286" width="7.125" bestFit="1" customWidth="1"/>
    <col min="7287" max="7287" width="17.875" bestFit="1" customWidth="1"/>
    <col min="7288" max="7288" width="5.875" bestFit="1" customWidth="1"/>
    <col min="7289" max="7289" width="8.875" bestFit="1" customWidth="1"/>
    <col min="7290" max="7292" width="5.875" bestFit="1" customWidth="1"/>
    <col min="7293" max="7293" width="7.875" bestFit="1" customWidth="1"/>
    <col min="7294" max="7294" width="17.875" bestFit="1" customWidth="1"/>
    <col min="7295" max="7295" width="5.875" bestFit="1" customWidth="1"/>
    <col min="7296" max="7296" width="8.875" bestFit="1" customWidth="1"/>
    <col min="7297" max="7299" width="5.875" bestFit="1" customWidth="1"/>
    <col min="7300" max="7300" width="7.875" bestFit="1" customWidth="1"/>
    <col min="7301" max="7301" width="17.875" bestFit="1" customWidth="1"/>
    <col min="7302" max="7302" width="5.875" bestFit="1" customWidth="1"/>
    <col min="7303" max="7303" width="8.875" bestFit="1" customWidth="1"/>
    <col min="7304" max="7306" width="5.875" bestFit="1" customWidth="1"/>
    <col min="7307" max="7308" width="7.125" bestFit="1" customWidth="1"/>
    <col min="7309" max="7309" width="17.875" bestFit="1" customWidth="1"/>
    <col min="7310" max="7310" width="5.875" bestFit="1" customWidth="1"/>
    <col min="7311" max="7311" width="8.875" bestFit="1" customWidth="1"/>
    <col min="7312" max="7314" width="5.875" bestFit="1" customWidth="1"/>
    <col min="7315" max="7315" width="7.875" bestFit="1" customWidth="1"/>
    <col min="7316" max="7316" width="17.875" bestFit="1" customWidth="1"/>
    <col min="7317" max="7317" width="5.875" bestFit="1" customWidth="1"/>
    <col min="7318" max="7318" width="8.875" bestFit="1" customWidth="1"/>
    <col min="7319" max="7321" width="5.875" bestFit="1" customWidth="1"/>
    <col min="7322" max="7322" width="7.875" bestFit="1" customWidth="1"/>
    <col min="7323" max="7323" width="17.875" bestFit="1" customWidth="1"/>
    <col min="7324" max="7324" width="5.875" bestFit="1" customWidth="1"/>
    <col min="7325" max="7325" width="8.875" bestFit="1" customWidth="1"/>
    <col min="7326" max="7328" width="5.875" bestFit="1" customWidth="1"/>
    <col min="7329" max="7329" width="7.875" bestFit="1" customWidth="1"/>
    <col min="7330" max="7330" width="17.875" bestFit="1" customWidth="1"/>
    <col min="7331" max="7331" width="5.875" bestFit="1" customWidth="1"/>
    <col min="7332" max="7332" width="7.875" bestFit="1" customWidth="1"/>
    <col min="7333" max="7335" width="5.875" bestFit="1" customWidth="1"/>
    <col min="7336" max="7336" width="7.125" bestFit="1" customWidth="1"/>
    <col min="7337" max="7337" width="17.875" bestFit="1" customWidth="1"/>
    <col min="7338" max="7338" width="5.875" bestFit="1" customWidth="1"/>
    <col min="7339" max="7339" width="8.875" bestFit="1" customWidth="1"/>
    <col min="7340" max="7342" width="5.875" bestFit="1" customWidth="1"/>
    <col min="7343" max="7343" width="7.125" bestFit="1" customWidth="1"/>
    <col min="7344" max="7344" width="17.875" bestFit="1" customWidth="1"/>
    <col min="7345" max="7345" width="5.875" bestFit="1" customWidth="1"/>
    <col min="7346" max="7346" width="8.875" bestFit="1" customWidth="1"/>
    <col min="7347" max="7349" width="5.875" bestFit="1" customWidth="1"/>
    <col min="7350" max="7350" width="7.875" bestFit="1" customWidth="1"/>
    <col min="7351" max="7351" width="17.875" bestFit="1" customWidth="1"/>
    <col min="7352" max="7352" width="5.875" bestFit="1" customWidth="1"/>
    <col min="7353" max="7353" width="8.875" bestFit="1" customWidth="1"/>
    <col min="7354" max="7356" width="5.875" bestFit="1" customWidth="1"/>
    <col min="7357" max="7357" width="7.875" bestFit="1" customWidth="1"/>
    <col min="7358" max="7358" width="17.875" bestFit="1" customWidth="1"/>
    <col min="7359" max="7359" width="5.875" bestFit="1" customWidth="1"/>
    <col min="7360" max="7360" width="8.875" bestFit="1" customWidth="1"/>
    <col min="7361" max="7363" width="5.875" bestFit="1" customWidth="1"/>
    <col min="7364" max="7365" width="7.125" bestFit="1" customWidth="1"/>
    <col min="7366" max="7366" width="17.875" bestFit="1" customWidth="1"/>
    <col min="7367" max="7367" width="5.875" bestFit="1" customWidth="1"/>
    <col min="7368" max="7368" width="8.875" bestFit="1" customWidth="1"/>
    <col min="7369" max="7371" width="5.875" bestFit="1" customWidth="1"/>
    <col min="7372" max="7372" width="7.875" bestFit="1" customWidth="1"/>
    <col min="7373" max="7373" width="17.875" bestFit="1" customWidth="1"/>
    <col min="7374" max="7374" width="5.875" bestFit="1" customWidth="1"/>
    <col min="7375" max="7375" width="8.875" bestFit="1" customWidth="1"/>
    <col min="7376" max="7378" width="5.875" bestFit="1" customWidth="1"/>
    <col min="7379" max="7379" width="7.875" bestFit="1" customWidth="1"/>
    <col min="7380" max="7380" width="17.875" bestFit="1" customWidth="1"/>
    <col min="7381" max="7381" width="5.875" bestFit="1" customWidth="1"/>
    <col min="7382" max="7382" width="8.875" bestFit="1" customWidth="1"/>
    <col min="7383" max="7385" width="5.875" bestFit="1" customWidth="1"/>
    <col min="7386" max="7386" width="7.875" bestFit="1" customWidth="1"/>
    <col min="7387" max="7387" width="17.875" bestFit="1" customWidth="1"/>
    <col min="7388" max="7388" width="5.875" bestFit="1" customWidth="1"/>
    <col min="7389" max="7389" width="7.875" bestFit="1" customWidth="1"/>
    <col min="7390" max="7392" width="5.875" bestFit="1" customWidth="1"/>
    <col min="7393" max="7393" width="7.125" bestFit="1" customWidth="1"/>
    <col min="7394" max="7394" width="17.875" bestFit="1" customWidth="1"/>
    <col min="7395" max="7395" width="5.875" bestFit="1" customWidth="1"/>
    <col min="7396" max="7396" width="8.875" bestFit="1" customWidth="1"/>
    <col min="7397" max="7399" width="5.875" bestFit="1" customWidth="1"/>
    <col min="7400" max="7400" width="7.125" bestFit="1" customWidth="1"/>
    <col min="7401" max="7401" width="17.875" bestFit="1" customWidth="1"/>
    <col min="7402" max="7402" width="5.875" bestFit="1" customWidth="1"/>
    <col min="7403" max="7403" width="8.875" bestFit="1" customWidth="1"/>
    <col min="7404" max="7406" width="5.875" bestFit="1" customWidth="1"/>
    <col min="7407" max="7407" width="7.875" bestFit="1" customWidth="1"/>
    <col min="7408" max="7408" width="17.875" bestFit="1" customWidth="1"/>
    <col min="7409" max="7409" width="5.875" bestFit="1" customWidth="1"/>
    <col min="7410" max="7410" width="8.875" bestFit="1" customWidth="1"/>
    <col min="7411" max="7413" width="5.875" bestFit="1" customWidth="1"/>
    <col min="7414" max="7414" width="7.875" bestFit="1" customWidth="1"/>
    <col min="7415" max="7415" width="17.875" bestFit="1" customWidth="1"/>
    <col min="7416" max="7416" width="5.875" bestFit="1" customWidth="1"/>
    <col min="7417" max="7417" width="8.875" bestFit="1" customWidth="1"/>
    <col min="7418" max="7420" width="5.875" bestFit="1" customWidth="1"/>
    <col min="7421" max="7422" width="7.125" bestFit="1" customWidth="1"/>
    <col min="7423" max="7423" width="17.875" bestFit="1" customWidth="1"/>
    <col min="7424" max="7424" width="5.875" bestFit="1" customWidth="1"/>
    <col min="7425" max="7425" width="8.875" bestFit="1" customWidth="1"/>
    <col min="7426" max="7428" width="5.875" bestFit="1" customWidth="1"/>
    <col min="7429" max="7429" width="7.875" bestFit="1" customWidth="1"/>
    <col min="7430" max="7430" width="17.875" bestFit="1" customWidth="1"/>
    <col min="7431" max="7431" width="5.875" bestFit="1" customWidth="1"/>
    <col min="7432" max="7432" width="8.875" bestFit="1" customWidth="1"/>
    <col min="7433" max="7435" width="5.875" bestFit="1" customWidth="1"/>
    <col min="7436" max="7436" width="7.875" bestFit="1" customWidth="1"/>
    <col min="7437" max="7437" width="17.875" bestFit="1" customWidth="1"/>
    <col min="7438" max="7438" width="5.875" bestFit="1" customWidth="1"/>
    <col min="7439" max="7439" width="7.875" bestFit="1" customWidth="1"/>
    <col min="7440" max="7442" width="5.875" bestFit="1" customWidth="1"/>
    <col min="7443" max="7443" width="7.875" bestFit="1" customWidth="1"/>
    <col min="7444" max="7444" width="17.875" bestFit="1" customWidth="1"/>
    <col min="7445" max="7445" width="5.875" bestFit="1" customWidth="1"/>
    <col min="7446" max="7446" width="7.875" bestFit="1" customWidth="1"/>
    <col min="7447" max="7449" width="5.875" bestFit="1" customWidth="1"/>
    <col min="7450" max="7450" width="7.125" bestFit="1" customWidth="1"/>
    <col min="7451" max="7451" width="17.875" bestFit="1" customWidth="1"/>
    <col min="7452" max="7452" width="5.875" bestFit="1" customWidth="1"/>
    <col min="7453" max="7453" width="8.875" bestFit="1" customWidth="1"/>
    <col min="7454" max="7456" width="5.875" bestFit="1" customWidth="1"/>
    <col min="7457" max="7457" width="7.875" bestFit="1" customWidth="1"/>
    <col min="7458" max="7458" width="17.875" bestFit="1" customWidth="1"/>
    <col min="7459" max="7459" width="5.875" bestFit="1" customWidth="1"/>
    <col min="7460" max="7460" width="8.875" bestFit="1" customWidth="1"/>
    <col min="7461" max="7463" width="5.875" bestFit="1" customWidth="1"/>
    <col min="7464" max="7464" width="7.125" bestFit="1" customWidth="1"/>
    <col min="7465" max="7465" width="17.875" bestFit="1" customWidth="1"/>
    <col min="7466" max="7466" width="5.875" bestFit="1" customWidth="1"/>
    <col min="7467" max="7467" width="8.875" bestFit="1" customWidth="1"/>
    <col min="7468" max="7470" width="5.875" bestFit="1" customWidth="1"/>
    <col min="7471" max="7471" width="7.875" bestFit="1" customWidth="1"/>
    <col min="7472" max="7472" width="17.875" bestFit="1" customWidth="1"/>
    <col min="7473" max="7473" width="5.875" bestFit="1" customWidth="1"/>
    <col min="7474" max="7474" width="8.875" bestFit="1" customWidth="1"/>
    <col min="7475" max="7477" width="5.875" bestFit="1" customWidth="1"/>
    <col min="7478" max="7478" width="7.125" bestFit="1" customWidth="1"/>
    <col min="7479" max="7479" width="10.25" bestFit="1" customWidth="1"/>
    <col min="7480" max="7480" width="17.875" bestFit="1" customWidth="1"/>
    <col min="7481" max="7481" width="6.875" bestFit="1" customWidth="1"/>
    <col min="7482" max="7482" width="10.25" bestFit="1" customWidth="1"/>
    <col min="7483" max="7485" width="6.875" bestFit="1" customWidth="1"/>
    <col min="7486" max="7486" width="10.25" bestFit="1" customWidth="1"/>
    <col min="7487" max="7487" width="17.875" bestFit="1" customWidth="1"/>
    <col min="7488" max="7488" width="6.875" bestFit="1" customWidth="1"/>
    <col min="7489" max="7489" width="10.25" bestFit="1" customWidth="1"/>
    <col min="7490" max="7492" width="6.875" bestFit="1" customWidth="1"/>
    <col min="7493" max="7493" width="10.25" bestFit="1" customWidth="1"/>
    <col min="7494" max="7494" width="17.875" bestFit="1" customWidth="1"/>
    <col min="7495" max="7495" width="6.875" bestFit="1" customWidth="1"/>
    <col min="7496" max="7496" width="10.25" bestFit="1" customWidth="1"/>
    <col min="7497" max="7499" width="6.875" bestFit="1" customWidth="1"/>
    <col min="7500" max="7500" width="10.25" bestFit="1" customWidth="1"/>
    <col min="7501" max="7501" width="17.875" bestFit="1" customWidth="1"/>
    <col min="7502" max="7502" width="6.875" bestFit="1" customWidth="1"/>
    <col min="7503" max="7503" width="10.25" bestFit="1" customWidth="1"/>
    <col min="7504" max="7506" width="6.875" bestFit="1" customWidth="1"/>
    <col min="7507" max="7507" width="10.25" bestFit="1" customWidth="1"/>
    <col min="7508" max="7508" width="17.875" bestFit="1" customWidth="1"/>
    <col min="7509" max="7509" width="6.875" bestFit="1" customWidth="1"/>
    <col min="7510" max="7510" width="10.25" bestFit="1" customWidth="1"/>
    <col min="7511" max="7513" width="6.875" bestFit="1" customWidth="1"/>
    <col min="7514" max="7514" width="10.25" bestFit="1" customWidth="1"/>
    <col min="7515" max="7515" width="17.875" bestFit="1" customWidth="1"/>
    <col min="7516" max="7516" width="6.875" bestFit="1" customWidth="1"/>
    <col min="7517" max="7517" width="10.25" bestFit="1" customWidth="1"/>
    <col min="7518" max="7520" width="6.875" bestFit="1" customWidth="1"/>
    <col min="7521" max="7521" width="10.25" bestFit="1" customWidth="1"/>
    <col min="7522" max="7522" width="17.875" bestFit="1" customWidth="1"/>
    <col min="7523" max="7523" width="6.875" bestFit="1" customWidth="1"/>
    <col min="7524" max="7524" width="10.25" bestFit="1" customWidth="1"/>
    <col min="7525" max="7527" width="6.875" bestFit="1" customWidth="1"/>
    <col min="7528" max="7528" width="10.25" bestFit="1" customWidth="1"/>
    <col min="7529" max="7529" width="17.875" bestFit="1" customWidth="1"/>
    <col min="7530" max="7530" width="6.875" bestFit="1" customWidth="1"/>
    <col min="7531" max="7531" width="10.25" bestFit="1" customWidth="1"/>
    <col min="7532" max="7534" width="6.875" bestFit="1" customWidth="1"/>
    <col min="7535" max="7536" width="10.25" bestFit="1" customWidth="1"/>
    <col min="7537" max="7537" width="17.875" bestFit="1" customWidth="1"/>
    <col min="7538" max="7538" width="6.875" bestFit="1" customWidth="1"/>
    <col min="7539" max="7539" width="10.25" bestFit="1" customWidth="1"/>
    <col min="7540" max="7542" width="6.875" bestFit="1" customWidth="1"/>
    <col min="7543" max="7543" width="10.25" bestFit="1" customWidth="1"/>
    <col min="7544" max="7544" width="17.875" bestFit="1" customWidth="1"/>
    <col min="7545" max="7545" width="6.875" bestFit="1" customWidth="1"/>
    <col min="7546" max="7546" width="10.25" bestFit="1" customWidth="1"/>
    <col min="7547" max="7549" width="6.875" bestFit="1" customWidth="1"/>
    <col min="7550" max="7550" width="10.25" bestFit="1" customWidth="1"/>
    <col min="7551" max="7551" width="17.875" bestFit="1" customWidth="1"/>
    <col min="7552" max="7552" width="6.875" bestFit="1" customWidth="1"/>
    <col min="7553" max="7553" width="10.25" bestFit="1" customWidth="1"/>
    <col min="7554" max="7556" width="6.875" bestFit="1" customWidth="1"/>
    <col min="7557" max="7557" width="10.25" bestFit="1" customWidth="1"/>
    <col min="7558" max="7558" width="17.875" bestFit="1" customWidth="1"/>
    <col min="7559" max="7559" width="6.875" bestFit="1" customWidth="1"/>
    <col min="7560" max="7560" width="10.25" bestFit="1" customWidth="1"/>
    <col min="7561" max="7563" width="6.875" bestFit="1" customWidth="1"/>
    <col min="7564" max="7564" width="10.25" bestFit="1" customWidth="1"/>
    <col min="7565" max="7565" width="17.875" bestFit="1" customWidth="1"/>
    <col min="7566" max="7566" width="6.875" bestFit="1" customWidth="1"/>
    <col min="7567" max="7567" width="10.25" bestFit="1" customWidth="1"/>
    <col min="7568" max="7570" width="6.875" bestFit="1" customWidth="1"/>
    <col min="7571" max="7571" width="10.25" bestFit="1" customWidth="1"/>
    <col min="7572" max="7572" width="17.875" bestFit="1" customWidth="1"/>
    <col min="7573" max="7573" width="6.875" bestFit="1" customWidth="1"/>
    <col min="7574" max="7574" width="10.25" bestFit="1" customWidth="1"/>
    <col min="7575" max="7577" width="6.875" bestFit="1" customWidth="1"/>
    <col min="7578" max="7578" width="10.25" bestFit="1" customWidth="1"/>
    <col min="7579" max="7579" width="17.875" bestFit="1" customWidth="1"/>
    <col min="7580" max="7580" width="6.875" bestFit="1" customWidth="1"/>
    <col min="7581" max="7581" width="10.25" bestFit="1" customWidth="1"/>
    <col min="7582" max="7584" width="6.875" bestFit="1" customWidth="1"/>
    <col min="7585" max="7585" width="10.25" bestFit="1" customWidth="1"/>
    <col min="7586" max="7586" width="17.875" bestFit="1" customWidth="1"/>
    <col min="7587" max="7587" width="6.875" bestFit="1" customWidth="1"/>
    <col min="7588" max="7588" width="10.25" bestFit="1" customWidth="1"/>
    <col min="7589" max="7591" width="6.875" bestFit="1" customWidth="1"/>
    <col min="7592" max="7592" width="10.25" bestFit="1" customWidth="1"/>
    <col min="7593" max="7593" width="17.875" bestFit="1" customWidth="1"/>
    <col min="7594" max="7594" width="6.875" bestFit="1" customWidth="1"/>
    <col min="7595" max="7595" width="10.25" bestFit="1" customWidth="1"/>
    <col min="7596" max="7598" width="6.875" bestFit="1" customWidth="1"/>
    <col min="7599" max="7599" width="10.25" bestFit="1" customWidth="1"/>
    <col min="7600" max="7601" width="2.5" bestFit="1" customWidth="1"/>
    <col min="7602" max="7602" width="3.5" bestFit="1" customWidth="1"/>
    <col min="7603" max="7604" width="5.875" bestFit="1" customWidth="1"/>
    <col min="7605" max="7605" width="17.875" bestFit="1" customWidth="1"/>
    <col min="7606" max="7606" width="6.875" bestFit="1" customWidth="1"/>
    <col min="7607" max="7607" width="10.25" bestFit="1" customWidth="1"/>
    <col min="7608" max="7610" width="6.875" bestFit="1" customWidth="1"/>
    <col min="7611" max="7611" width="10.25" bestFit="1" customWidth="1"/>
    <col min="7612" max="7614" width="2.5" bestFit="1" customWidth="1"/>
    <col min="7615" max="7615" width="3.5" bestFit="1" customWidth="1"/>
    <col min="7616" max="7617" width="5.875" bestFit="1" customWidth="1"/>
    <col min="7618" max="7618" width="17.875" bestFit="1" customWidth="1"/>
    <col min="7619" max="7619" width="6.875" bestFit="1" customWidth="1"/>
    <col min="7620" max="7620" width="10.25" bestFit="1" customWidth="1"/>
    <col min="7621" max="7623" width="6.875" bestFit="1" customWidth="1"/>
    <col min="7624" max="7624" width="10.25" bestFit="1" customWidth="1"/>
    <col min="7625" max="7627" width="2.5" bestFit="1" customWidth="1"/>
    <col min="7628" max="7628" width="3.5" bestFit="1" customWidth="1"/>
    <col min="7629" max="7630" width="5.875" bestFit="1" customWidth="1"/>
    <col min="7631" max="7631" width="17.875" bestFit="1" customWidth="1"/>
    <col min="7632" max="7632" width="6.875" bestFit="1" customWidth="1"/>
    <col min="7633" max="7633" width="10.25" bestFit="1" customWidth="1"/>
    <col min="7634" max="7636" width="6.875" bestFit="1" customWidth="1"/>
    <col min="7637" max="7637" width="10.25" bestFit="1" customWidth="1"/>
    <col min="7638" max="7640" width="2.5" bestFit="1" customWidth="1"/>
    <col min="7641" max="7641" width="3.5" bestFit="1" customWidth="1"/>
    <col min="7642" max="7643" width="5.875" bestFit="1" customWidth="1"/>
    <col min="7644" max="7644" width="17.875" bestFit="1" customWidth="1"/>
    <col min="7645" max="7645" width="6.875" bestFit="1" customWidth="1"/>
    <col min="7646" max="7646" width="10.25" bestFit="1" customWidth="1"/>
    <col min="7647" max="7649" width="6.875" bestFit="1" customWidth="1"/>
    <col min="7650" max="7650" width="10.25" bestFit="1" customWidth="1"/>
    <col min="7651" max="7653" width="2.5" bestFit="1" customWidth="1"/>
    <col min="7654" max="7654" width="3.5" bestFit="1" customWidth="1"/>
    <col min="7655" max="7656" width="5.875" bestFit="1" customWidth="1"/>
    <col min="7657" max="7657" width="17.875" bestFit="1" customWidth="1"/>
    <col min="7658" max="7658" width="6.875" bestFit="1" customWidth="1"/>
    <col min="7659" max="7659" width="10.25" bestFit="1" customWidth="1"/>
    <col min="7660" max="7662" width="6.875" bestFit="1" customWidth="1"/>
    <col min="7663" max="7663" width="10.25" bestFit="1" customWidth="1"/>
    <col min="7664" max="7666" width="2.5" bestFit="1" customWidth="1"/>
    <col min="7667" max="7667" width="3.5" bestFit="1" customWidth="1"/>
    <col min="7668" max="7669" width="5.875" bestFit="1" customWidth="1"/>
    <col min="7670" max="7670" width="17.875" bestFit="1" customWidth="1"/>
    <col min="7671" max="7671" width="6.875" bestFit="1" customWidth="1"/>
    <col min="7672" max="7672" width="10.25" bestFit="1" customWidth="1"/>
    <col min="7673" max="7675" width="6.875" bestFit="1" customWidth="1"/>
    <col min="7676" max="7676" width="10.25" bestFit="1" customWidth="1"/>
    <col min="7677" max="7679" width="2.5" bestFit="1" customWidth="1"/>
    <col min="7680" max="7680" width="3.5" bestFit="1" customWidth="1"/>
    <col min="7681" max="7682" width="5.875" bestFit="1" customWidth="1"/>
    <col min="7683" max="7683" width="17.875" bestFit="1" customWidth="1"/>
    <col min="7684" max="7684" width="6.875" bestFit="1" customWidth="1"/>
    <col min="7685" max="7685" width="10.25" bestFit="1" customWidth="1"/>
    <col min="7686" max="7688" width="6.875" bestFit="1" customWidth="1"/>
    <col min="7689" max="7689" width="10.25" bestFit="1" customWidth="1"/>
    <col min="7690" max="7692" width="2.5" bestFit="1" customWidth="1"/>
    <col min="7693" max="7693" width="3.5" bestFit="1" customWidth="1"/>
    <col min="7694" max="7695" width="5.875" bestFit="1" customWidth="1"/>
    <col min="7696" max="7696" width="17.875" bestFit="1" customWidth="1"/>
    <col min="7697" max="7697" width="6.875" bestFit="1" customWidth="1"/>
    <col min="7698" max="7698" width="10.25" bestFit="1" customWidth="1"/>
    <col min="7699" max="7701" width="6.875" bestFit="1" customWidth="1"/>
    <col min="7702" max="7702" width="10.25" bestFit="1" customWidth="1"/>
    <col min="7703" max="7705" width="2.5" bestFit="1" customWidth="1"/>
    <col min="7706" max="7706" width="3.5" bestFit="1" customWidth="1"/>
    <col min="7707" max="7708" width="5.875" bestFit="1" customWidth="1"/>
    <col min="7709" max="7709" width="17.875" bestFit="1" customWidth="1"/>
    <col min="7710" max="7710" width="6.875" bestFit="1" customWidth="1"/>
    <col min="7711" max="7711" width="10.25" bestFit="1" customWidth="1"/>
    <col min="7712" max="7714" width="6.875" bestFit="1" customWidth="1"/>
    <col min="7715" max="7715" width="10.25" bestFit="1" customWidth="1"/>
    <col min="7716" max="7718" width="2.5" bestFit="1" customWidth="1"/>
    <col min="7719" max="7719" width="3.5" bestFit="1" customWidth="1"/>
    <col min="7720" max="7721" width="5.875" bestFit="1" customWidth="1"/>
    <col min="7722" max="7722" width="10.25" bestFit="1" customWidth="1"/>
    <col min="7723" max="7723" width="17.875" bestFit="1" customWidth="1"/>
    <col min="7724" max="7724" width="6.875" bestFit="1" customWidth="1"/>
    <col min="7725" max="7725" width="10.25" bestFit="1" customWidth="1"/>
    <col min="7726" max="7728" width="6.875" bestFit="1" customWidth="1"/>
    <col min="7729" max="7729" width="10.25" bestFit="1" customWidth="1"/>
    <col min="7730" max="7730" width="17.875" bestFit="1" customWidth="1"/>
    <col min="7731" max="7731" width="6.875" bestFit="1" customWidth="1"/>
    <col min="7732" max="7732" width="10.25" bestFit="1" customWidth="1"/>
    <col min="7733" max="7735" width="6.875" bestFit="1" customWidth="1"/>
    <col min="7736" max="7736" width="10.25" bestFit="1" customWidth="1"/>
    <col min="7737" max="7737" width="17.875" bestFit="1" customWidth="1"/>
    <col min="7738" max="7738" width="6.875" bestFit="1" customWidth="1"/>
    <col min="7739" max="7739" width="10.25" bestFit="1" customWidth="1"/>
    <col min="7740" max="7742" width="6.875" bestFit="1" customWidth="1"/>
    <col min="7743" max="7743" width="10.25" bestFit="1" customWidth="1"/>
    <col min="7744" max="7744" width="17.875" bestFit="1" customWidth="1"/>
    <col min="7745" max="7745" width="6.875" bestFit="1" customWidth="1"/>
    <col min="7746" max="7746" width="10.25" bestFit="1" customWidth="1"/>
    <col min="7747" max="7749" width="6.875" bestFit="1" customWidth="1"/>
    <col min="7750" max="7750" width="10.25" bestFit="1" customWidth="1"/>
    <col min="7751" max="7751" width="17.875" bestFit="1" customWidth="1"/>
    <col min="7752" max="7752" width="6.875" bestFit="1" customWidth="1"/>
    <col min="7753" max="7753" width="10.25" bestFit="1" customWidth="1"/>
    <col min="7754" max="7756" width="6.875" bestFit="1" customWidth="1"/>
    <col min="7757" max="7757" width="10.25" bestFit="1" customWidth="1"/>
    <col min="7758" max="7758" width="17.875" bestFit="1" customWidth="1"/>
    <col min="7759" max="7759" width="6.875" bestFit="1" customWidth="1"/>
    <col min="7760" max="7760" width="10.25" bestFit="1" customWidth="1"/>
    <col min="7761" max="7763" width="6.875" bestFit="1" customWidth="1"/>
    <col min="7764" max="7764" width="10.25" bestFit="1" customWidth="1"/>
    <col min="7765" max="7765" width="17.875" bestFit="1" customWidth="1"/>
    <col min="7766" max="7766" width="6.875" bestFit="1" customWidth="1"/>
    <col min="7767" max="7767" width="10.25" bestFit="1" customWidth="1"/>
    <col min="7768" max="7770" width="6.875" bestFit="1" customWidth="1"/>
    <col min="7771" max="7771" width="10.25" bestFit="1" customWidth="1"/>
    <col min="7772" max="7772" width="17.875" bestFit="1" customWidth="1"/>
    <col min="7773" max="7773" width="6.875" bestFit="1" customWidth="1"/>
    <col min="7774" max="7774" width="10.25" bestFit="1" customWidth="1"/>
    <col min="7775" max="7777" width="6.875" bestFit="1" customWidth="1"/>
    <col min="7778" max="7779" width="10.25" bestFit="1" customWidth="1"/>
    <col min="7780" max="7780" width="17.875" bestFit="1" customWidth="1"/>
    <col min="7781" max="7781" width="6.875" bestFit="1" customWidth="1"/>
    <col min="7782" max="7782" width="10.25" bestFit="1" customWidth="1"/>
    <col min="7783" max="7785" width="6.875" bestFit="1" customWidth="1"/>
    <col min="7786" max="7786" width="10.25" bestFit="1" customWidth="1"/>
    <col min="7787" max="7787" width="17.875" bestFit="1" customWidth="1"/>
    <col min="7788" max="7788" width="6.875" bestFit="1" customWidth="1"/>
    <col min="7789" max="7789" width="10.25" bestFit="1" customWidth="1"/>
    <col min="7790" max="7792" width="6.875" bestFit="1" customWidth="1"/>
    <col min="7793" max="7793" width="10.25" bestFit="1" customWidth="1"/>
    <col min="7794" max="7794" width="17.875" bestFit="1" customWidth="1"/>
    <col min="7795" max="7795" width="6.875" bestFit="1" customWidth="1"/>
    <col min="7796" max="7796" width="10.25" bestFit="1" customWidth="1"/>
    <col min="7797" max="7799" width="6.875" bestFit="1" customWidth="1"/>
    <col min="7800" max="7800" width="10.25" bestFit="1" customWidth="1"/>
    <col min="7801" max="7801" width="17.875" bestFit="1" customWidth="1"/>
    <col min="7802" max="7802" width="6.875" bestFit="1" customWidth="1"/>
    <col min="7803" max="7803" width="10.25" bestFit="1" customWidth="1"/>
    <col min="7804" max="7806" width="6.875" bestFit="1" customWidth="1"/>
    <col min="7807" max="7807" width="10.25" bestFit="1" customWidth="1"/>
    <col min="7808" max="7808" width="17.875" bestFit="1" customWidth="1"/>
    <col min="7809" max="7809" width="6.875" bestFit="1" customWidth="1"/>
    <col min="7810" max="7810" width="10.25" bestFit="1" customWidth="1"/>
    <col min="7811" max="7813" width="6.875" bestFit="1" customWidth="1"/>
    <col min="7814" max="7814" width="10.25" bestFit="1" customWidth="1"/>
    <col min="7815" max="7815" width="17.875" bestFit="1" customWidth="1"/>
    <col min="7816" max="7816" width="6.875" bestFit="1" customWidth="1"/>
    <col min="7817" max="7817" width="10.25" bestFit="1" customWidth="1"/>
    <col min="7818" max="7820" width="6.875" bestFit="1" customWidth="1"/>
    <col min="7821" max="7821" width="10.25" bestFit="1" customWidth="1"/>
    <col min="7822" max="7822" width="17.875" bestFit="1" customWidth="1"/>
    <col min="7823" max="7823" width="6.875" bestFit="1" customWidth="1"/>
    <col min="7824" max="7824" width="10.25" bestFit="1" customWidth="1"/>
    <col min="7825" max="7827" width="6.875" bestFit="1" customWidth="1"/>
    <col min="7828" max="7828" width="10.25" bestFit="1" customWidth="1"/>
    <col min="7829" max="7829" width="17.875" bestFit="1" customWidth="1"/>
    <col min="7830" max="7830" width="6.875" bestFit="1" customWidth="1"/>
    <col min="7831" max="7831" width="10.25" bestFit="1" customWidth="1"/>
    <col min="7832" max="7834" width="6.875" bestFit="1" customWidth="1"/>
    <col min="7835" max="7835" width="10.25" bestFit="1" customWidth="1"/>
    <col min="7836" max="7836" width="7.875" bestFit="1" customWidth="1"/>
    <col min="7837" max="7837" width="17.875" bestFit="1" customWidth="1"/>
    <col min="7838" max="7838" width="5.875" bestFit="1" customWidth="1"/>
    <col min="7839" max="7839" width="8.875" bestFit="1" customWidth="1"/>
    <col min="7840" max="7842" width="5.875" bestFit="1" customWidth="1"/>
    <col min="7843" max="7843" width="9.25" bestFit="1" customWidth="1"/>
    <col min="7844" max="7844" width="17.875" bestFit="1" customWidth="1"/>
    <col min="7845" max="7845" width="5.875" bestFit="1" customWidth="1"/>
    <col min="7846" max="7846" width="7.875" bestFit="1" customWidth="1"/>
    <col min="7847" max="7849" width="5.875" bestFit="1" customWidth="1"/>
    <col min="7850" max="7850" width="7.875" bestFit="1" customWidth="1"/>
    <col min="7851" max="7851" width="17.875" bestFit="1" customWidth="1"/>
    <col min="7852" max="7852" width="5.875" bestFit="1" customWidth="1"/>
    <col min="7853" max="7853" width="7.875" bestFit="1" customWidth="1"/>
    <col min="7854" max="7856" width="5.875" bestFit="1" customWidth="1"/>
    <col min="7857" max="7857" width="7.875" bestFit="1" customWidth="1"/>
    <col min="7858" max="7858" width="17.875" bestFit="1" customWidth="1"/>
    <col min="7859" max="7859" width="5.875" bestFit="1" customWidth="1"/>
    <col min="7860" max="7860" width="7.875" bestFit="1" customWidth="1"/>
    <col min="7861" max="7863" width="5.875" bestFit="1" customWidth="1"/>
    <col min="7864" max="7864" width="7.875" bestFit="1" customWidth="1"/>
    <col min="7865" max="7865" width="17.875" bestFit="1" customWidth="1"/>
    <col min="7866" max="7866" width="5.875" bestFit="1" customWidth="1"/>
    <col min="7867" max="7867" width="7.875" bestFit="1" customWidth="1"/>
    <col min="7868" max="7870" width="5.875" bestFit="1" customWidth="1"/>
    <col min="7871" max="7871" width="7.875" bestFit="1" customWidth="1"/>
    <col min="7872" max="7872" width="17.875" bestFit="1" customWidth="1"/>
    <col min="7873" max="7873" width="5.875" bestFit="1" customWidth="1"/>
    <col min="7874" max="7874" width="7.875" bestFit="1" customWidth="1"/>
    <col min="7875" max="7877" width="5.875" bestFit="1" customWidth="1"/>
    <col min="7878" max="7878" width="7.875" bestFit="1" customWidth="1"/>
    <col min="7879" max="7879" width="17.875" bestFit="1" customWidth="1"/>
    <col min="7880" max="7880" width="5.875" bestFit="1" customWidth="1"/>
    <col min="7881" max="7881" width="8.875" bestFit="1" customWidth="1"/>
    <col min="7882" max="7884" width="5.875" bestFit="1" customWidth="1"/>
    <col min="7885" max="7885" width="7.875" bestFit="1" customWidth="1"/>
    <col min="7886" max="7886" width="17.875" bestFit="1" customWidth="1"/>
    <col min="7887" max="7887" width="5.875" bestFit="1" customWidth="1"/>
    <col min="7888" max="7888" width="8.875" bestFit="1" customWidth="1"/>
    <col min="7889" max="7891" width="5.875" bestFit="1" customWidth="1"/>
    <col min="7892" max="7892" width="7.125" bestFit="1" customWidth="1"/>
    <col min="7893" max="7893" width="7.875" bestFit="1" customWidth="1"/>
    <col min="7894" max="7894" width="17.875" bestFit="1" customWidth="1"/>
    <col min="7895" max="7895" width="5.875" bestFit="1" customWidth="1"/>
    <col min="7896" max="7896" width="8.875" bestFit="1" customWidth="1"/>
    <col min="7897" max="7899" width="5.875" bestFit="1" customWidth="1"/>
    <col min="7900" max="7900" width="9.25" bestFit="1" customWidth="1"/>
    <col min="7901" max="7901" width="17.875" bestFit="1" customWidth="1"/>
    <col min="7902" max="7902" width="5.875" bestFit="1" customWidth="1"/>
    <col min="7903" max="7903" width="7.875" bestFit="1" customWidth="1"/>
    <col min="7904" max="7906" width="5.875" bestFit="1" customWidth="1"/>
    <col min="7907" max="7907" width="7.875" bestFit="1" customWidth="1"/>
    <col min="7908" max="7908" width="17.875" bestFit="1" customWidth="1"/>
    <col min="7909" max="7909" width="5.875" bestFit="1" customWidth="1"/>
    <col min="7910" max="7910" width="7.875" bestFit="1" customWidth="1"/>
    <col min="7911" max="7913" width="5.875" bestFit="1" customWidth="1"/>
    <col min="7914" max="7914" width="7.875" bestFit="1" customWidth="1"/>
    <col min="7915" max="7915" width="17.875" bestFit="1" customWidth="1"/>
    <col min="7916" max="7916" width="5.875" bestFit="1" customWidth="1"/>
    <col min="7917" max="7917" width="7.875" bestFit="1" customWidth="1"/>
    <col min="7918" max="7920" width="5.875" bestFit="1" customWidth="1"/>
    <col min="7921" max="7921" width="7.875" bestFit="1" customWidth="1"/>
    <col min="7922" max="7922" width="17.875" bestFit="1" customWidth="1"/>
    <col min="7923" max="7923" width="5.875" bestFit="1" customWidth="1"/>
    <col min="7924" max="7924" width="7.875" bestFit="1" customWidth="1"/>
    <col min="7925" max="7927" width="5.875" bestFit="1" customWidth="1"/>
    <col min="7928" max="7928" width="7.875" bestFit="1" customWidth="1"/>
    <col min="7929" max="7929" width="17.875" bestFit="1" customWidth="1"/>
    <col min="7930" max="7930" width="5.875" bestFit="1" customWidth="1"/>
    <col min="7931" max="7931" width="7.875" bestFit="1" customWidth="1"/>
    <col min="7932" max="7934" width="5.875" bestFit="1" customWidth="1"/>
    <col min="7935" max="7935" width="7.875" bestFit="1" customWidth="1"/>
    <col min="7936" max="7936" width="17.875" bestFit="1" customWidth="1"/>
    <col min="7937" max="7937" width="5.875" bestFit="1" customWidth="1"/>
    <col min="7938" max="7938" width="8.875" bestFit="1" customWidth="1"/>
    <col min="7939" max="7941" width="5.875" bestFit="1" customWidth="1"/>
    <col min="7942" max="7942" width="7.875" bestFit="1" customWidth="1"/>
    <col min="7943" max="7943" width="17.875" bestFit="1" customWidth="1"/>
    <col min="7944" max="7944" width="5.875" bestFit="1" customWidth="1"/>
    <col min="7945" max="7945" width="8.875" bestFit="1" customWidth="1"/>
    <col min="7946" max="7948" width="5.875" bestFit="1" customWidth="1"/>
    <col min="7949" max="7949" width="7.125" bestFit="1" customWidth="1"/>
    <col min="7950" max="7950" width="9.25" bestFit="1" customWidth="1"/>
    <col min="7951" max="7951" width="17.875" bestFit="1" customWidth="1"/>
    <col min="7952" max="7952" width="5.25" bestFit="1" customWidth="1"/>
    <col min="7953" max="7953" width="8.875" bestFit="1" customWidth="1"/>
    <col min="7954" max="7954" width="5.25" bestFit="1" customWidth="1"/>
    <col min="7955" max="7955" width="5.875" bestFit="1" customWidth="1"/>
    <col min="7956" max="7956" width="5.25" bestFit="1" customWidth="1"/>
    <col min="7957" max="7957" width="10.25" bestFit="1" customWidth="1"/>
    <col min="7958" max="7958" width="17.875" bestFit="1" customWidth="1"/>
    <col min="7959" max="7959" width="5.25" bestFit="1" customWidth="1"/>
    <col min="7960" max="7960" width="7.875" bestFit="1" customWidth="1"/>
    <col min="7961" max="7963" width="5.25" bestFit="1" customWidth="1"/>
    <col min="7964" max="7964" width="7.875" bestFit="1" customWidth="1"/>
    <col min="7965" max="7965" width="17.875" bestFit="1" customWidth="1"/>
    <col min="7966" max="7966" width="5.25" bestFit="1" customWidth="1"/>
    <col min="7967" max="7967" width="7.875" bestFit="1" customWidth="1"/>
    <col min="7968" max="7970" width="5.25" bestFit="1" customWidth="1"/>
    <col min="7971" max="7971" width="7.875" bestFit="1" customWidth="1"/>
    <col min="7972" max="7972" width="17.875" bestFit="1" customWidth="1"/>
    <col min="7973" max="7973" width="5.25" bestFit="1" customWidth="1"/>
    <col min="7974" max="7974" width="7.875" bestFit="1" customWidth="1"/>
    <col min="7975" max="7977" width="5.25" bestFit="1" customWidth="1"/>
    <col min="7978" max="7978" width="7.875" bestFit="1" customWidth="1"/>
    <col min="7979" max="7979" width="17.875" bestFit="1" customWidth="1"/>
    <col min="7980" max="7980" width="5.25" bestFit="1" customWidth="1"/>
    <col min="7981" max="7981" width="7.875" bestFit="1" customWidth="1"/>
    <col min="7982" max="7984" width="5.25" bestFit="1" customWidth="1"/>
    <col min="7985" max="7985" width="7.875" bestFit="1" customWidth="1"/>
    <col min="7986" max="7986" width="17.875" bestFit="1" customWidth="1"/>
    <col min="7987" max="7987" width="5.25" bestFit="1" customWidth="1"/>
    <col min="7988" max="7988" width="7.875" bestFit="1" customWidth="1"/>
    <col min="7989" max="7991" width="5.25" bestFit="1" customWidth="1"/>
    <col min="7992" max="7992" width="7.875" bestFit="1" customWidth="1"/>
    <col min="7993" max="7993" width="17.875" bestFit="1" customWidth="1"/>
    <col min="7994" max="7994" width="5.25" bestFit="1" customWidth="1"/>
    <col min="7995" max="7995" width="7.875" bestFit="1" customWidth="1"/>
    <col min="7996" max="7998" width="5.25" bestFit="1" customWidth="1"/>
    <col min="7999" max="7999" width="7.875" bestFit="1" customWidth="1"/>
    <col min="8000" max="8000" width="17.875" bestFit="1" customWidth="1"/>
    <col min="8001" max="8001" width="5.25" bestFit="1" customWidth="1"/>
    <col min="8002" max="8002" width="7.875" bestFit="1" customWidth="1"/>
    <col min="8003" max="8005" width="5.25" bestFit="1" customWidth="1"/>
    <col min="8006" max="8007" width="7.875" bestFit="1" customWidth="1"/>
    <col min="8008" max="8008" width="17.875" bestFit="1" customWidth="1"/>
    <col min="8009" max="8009" width="5.875" bestFit="1" customWidth="1"/>
    <col min="8010" max="8010" width="8.875" bestFit="1" customWidth="1"/>
    <col min="8011" max="8013" width="5.875" bestFit="1" customWidth="1"/>
    <col min="8014" max="8014" width="9.25" bestFit="1" customWidth="1"/>
    <col min="8015" max="8015" width="17.875" bestFit="1" customWidth="1"/>
    <col min="8016" max="8016" width="5.875" bestFit="1" customWidth="1"/>
    <col min="8017" max="8017" width="8.875" bestFit="1" customWidth="1"/>
    <col min="8018" max="8020" width="5.875" bestFit="1" customWidth="1"/>
    <col min="8021" max="8021" width="9.25" bestFit="1" customWidth="1"/>
    <col min="8022" max="8022" width="17.875" bestFit="1" customWidth="1"/>
    <col min="8023" max="8023" width="5.875" bestFit="1" customWidth="1"/>
    <col min="8024" max="8024" width="8.875" bestFit="1" customWidth="1"/>
    <col min="8025" max="8027" width="5.875" bestFit="1" customWidth="1"/>
    <col min="8028" max="8028" width="9.25" bestFit="1" customWidth="1"/>
    <col min="8029" max="8029" width="17.875" bestFit="1" customWidth="1"/>
    <col min="8030" max="8030" width="5.875" bestFit="1" customWidth="1"/>
    <col min="8031" max="8031" width="8.875" bestFit="1" customWidth="1"/>
    <col min="8032" max="8034" width="5.875" bestFit="1" customWidth="1"/>
    <col min="8035" max="8035" width="9.25" bestFit="1" customWidth="1"/>
    <col min="8036" max="8036" width="17.875" bestFit="1" customWidth="1"/>
    <col min="8037" max="8037" width="5.875" bestFit="1" customWidth="1"/>
    <col min="8038" max="8038" width="8.875" bestFit="1" customWidth="1"/>
    <col min="8039" max="8041" width="5.875" bestFit="1" customWidth="1"/>
    <col min="8042" max="8042" width="9.25" bestFit="1" customWidth="1"/>
    <col min="8043" max="8043" width="17.875" bestFit="1" customWidth="1"/>
    <col min="8044" max="8044" width="5.875" bestFit="1" customWidth="1"/>
    <col min="8045" max="8045" width="8.875" bestFit="1" customWidth="1"/>
    <col min="8046" max="8048" width="5.875" bestFit="1" customWidth="1"/>
    <col min="8049" max="8049" width="7.875" bestFit="1" customWidth="1"/>
    <col min="8050" max="8050" width="17.875" bestFit="1" customWidth="1"/>
    <col min="8051" max="8051" width="5.875" bestFit="1" customWidth="1"/>
    <col min="8052" max="8052" width="8.875" bestFit="1" customWidth="1"/>
    <col min="8053" max="8055" width="5.875" bestFit="1" customWidth="1"/>
    <col min="8056" max="8056" width="9.25" bestFit="1" customWidth="1"/>
    <col min="8057" max="8057" width="17.875" bestFit="1" customWidth="1"/>
    <col min="8058" max="8058" width="5.875" bestFit="1" customWidth="1"/>
    <col min="8059" max="8059" width="7.875" bestFit="1" customWidth="1"/>
    <col min="8060" max="8062" width="5.875" bestFit="1" customWidth="1"/>
    <col min="8063" max="8063" width="7.875" bestFit="1" customWidth="1"/>
    <col min="8064" max="8064" width="10.25" bestFit="1" customWidth="1"/>
    <col min="8065" max="8065" width="17.875" bestFit="1" customWidth="1"/>
    <col min="8066" max="8066" width="6.875" bestFit="1" customWidth="1"/>
    <col min="8067" max="8067" width="10.25" bestFit="1" customWidth="1"/>
    <col min="8068" max="8070" width="6.875" bestFit="1" customWidth="1"/>
    <col min="8071" max="8071" width="10.25" bestFit="1" customWidth="1"/>
    <col min="8072" max="8072" width="17.875" bestFit="1" customWidth="1"/>
    <col min="8073" max="8073" width="6.875" bestFit="1" customWidth="1"/>
    <col min="8074" max="8074" width="10.25" bestFit="1" customWidth="1"/>
    <col min="8075" max="8077" width="6.875" bestFit="1" customWidth="1"/>
    <col min="8078" max="8078" width="10.25" bestFit="1" customWidth="1"/>
    <col min="8079" max="8079" width="17.875" bestFit="1" customWidth="1"/>
    <col min="8080" max="8080" width="6.875" bestFit="1" customWidth="1"/>
    <col min="8081" max="8081" width="10.25" bestFit="1" customWidth="1"/>
    <col min="8082" max="8084" width="6.875" bestFit="1" customWidth="1"/>
    <col min="8085" max="8085" width="10.25" bestFit="1" customWidth="1"/>
    <col min="8086" max="8086" width="17.875" bestFit="1" customWidth="1"/>
    <col min="8087" max="8087" width="6.875" bestFit="1" customWidth="1"/>
    <col min="8088" max="8088" width="10.25" bestFit="1" customWidth="1"/>
    <col min="8089" max="8091" width="6.875" bestFit="1" customWidth="1"/>
    <col min="8092" max="8092" width="10.25" bestFit="1" customWidth="1"/>
    <col min="8093" max="8093" width="17.875" bestFit="1" customWidth="1"/>
    <col min="8094" max="8094" width="6.875" bestFit="1" customWidth="1"/>
    <col min="8095" max="8095" width="10.25" bestFit="1" customWidth="1"/>
    <col min="8096" max="8098" width="6.875" bestFit="1" customWidth="1"/>
    <col min="8099" max="8099" width="10.25" bestFit="1" customWidth="1"/>
    <col min="8100" max="8100" width="17.875" bestFit="1" customWidth="1"/>
    <col min="8101" max="8101" width="6.875" bestFit="1" customWidth="1"/>
    <col min="8102" max="8102" width="10.25" bestFit="1" customWidth="1"/>
    <col min="8103" max="8105" width="6.875" bestFit="1" customWidth="1"/>
    <col min="8106" max="8106" width="10.25" bestFit="1" customWidth="1"/>
    <col min="8107" max="8107" width="17.875" bestFit="1" customWidth="1"/>
    <col min="8108" max="8108" width="6.875" bestFit="1" customWidth="1"/>
    <col min="8109" max="8109" width="10.25" bestFit="1" customWidth="1"/>
    <col min="8110" max="8112" width="6.875" bestFit="1" customWidth="1"/>
    <col min="8113" max="8113" width="10.25" bestFit="1" customWidth="1"/>
    <col min="8114" max="8114" width="17.875" bestFit="1" customWidth="1"/>
    <col min="8115" max="8115" width="6.875" bestFit="1" customWidth="1"/>
    <col min="8116" max="8116" width="10.25" bestFit="1" customWidth="1"/>
    <col min="8117" max="8119" width="6.875" bestFit="1" customWidth="1"/>
    <col min="8120" max="8121" width="10.25" bestFit="1" customWidth="1"/>
    <col min="8122" max="8122" width="17.875" bestFit="1" customWidth="1"/>
    <col min="8123" max="8123" width="6.875" bestFit="1" customWidth="1"/>
    <col min="8124" max="8124" width="10.25" bestFit="1" customWidth="1"/>
    <col min="8125" max="8127" width="6.875" bestFit="1" customWidth="1"/>
    <col min="8128" max="8128" width="10.25" bestFit="1" customWidth="1"/>
    <col min="8129" max="8129" width="17.875" bestFit="1" customWidth="1"/>
    <col min="8130" max="8130" width="6.875" bestFit="1" customWidth="1"/>
    <col min="8131" max="8131" width="10.25" bestFit="1" customWidth="1"/>
    <col min="8132" max="8134" width="6.875" bestFit="1" customWidth="1"/>
    <col min="8135" max="8135" width="10.25" bestFit="1" customWidth="1"/>
    <col min="8136" max="8136" width="17.875" bestFit="1" customWidth="1"/>
    <col min="8137" max="8137" width="6.875" bestFit="1" customWidth="1"/>
    <col min="8138" max="8138" width="10.25" bestFit="1" customWidth="1"/>
    <col min="8139" max="8141" width="6.875" bestFit="1" customWidth="1"/>
    <col min="8142" max="8142" width="10.25" bestFit="1" customWidth="1"/>
    <col min="8143" max="8143" width="17.875" bestFit="1" customWidth="1"/>
    <col min="8144" max="8144" width="6.875" bestFit="1" customWidth="1"/>
    <col min="8145" max="8145" width="10.25" bestFit="1" customWidth="1"/>
    <col min="8146" max="8148" width="6.875" bestFit="1" customWidth="1"/>
    <col min="8149" max="8149" width="10.25" bestFit="1" customWidth="1"/>
    <col min="8150" max="8150" width="17.875" bestFit="1" customWidth="1"/>
    <col min="8151" max="8151" width="6.875" bestFit="1" customWidth="1"/>
    <col min="8152" max="8152" width="10.25" bestFit="1" customWidth="1"/>
    <col min="8153" max="8155" width="6.875" bestFit="1" customWidth="1"/>
    <col min="8156" max="8156" width="10.25" bestFit="1" customWidth="1"/>
    <col min="8157" max="8157" width="17.875" bestFit="1" customWidth="1"/>
    <col min="8158" max="8158" width="6.875" bestFit="1" customWidth="1"/>
    <col min="8159" max="8159" width="10.25" bestFit="1" customWidth="1"/>
    <col min="8160" max="8162" width="6.875" bestFit="1" customWidth="1"/>
    <col min="8163" max="8163" width="10.25" bestFit="1" customWidth="1"/>
    <col min="8164" max="8164" width="17.875" bestFit="1" customWidth="1"/>
    <col min="8165" max="8165" width="6.875" bestFit="1" customWidth="1"/>
    <col min="8166" max="8166" width="10.25" bestFit="1" customWidth="1"/>
    <col min="8167" max="8169" width="6.875" bestFit="1" customWidth="1"/>
    <col min="8170" max="8170" width="10.25" bestFit="1" customWidth="1"/>
    <col min="8171" max="8171" width="17.875" bestFit="1" customWidth="1"/>
    <col min="8172" max="8172" width="6.875" bestFit="1" customWidth="1"/>
    <col min="8173" max="8173" width="10.25" bestFit="1" customWidth="1"/>
    <col min="8174" max="8176" width="6.875" bestFit="1" customWidth="1"/>
    <col min="8177" max="8177" width="10.25" bestFit="1" customWidth="1"/>
    <col min="8178" max="8178" width="9.25" bestFit="1" customWidth="1"/>
    <col min="8179" max="8179" width="17.875" bestFit="1" customWidth="1"/>
    <col min="8180" max="8180" width="6.875" bestFit="1" customWidth="1"/>
    <col min="8181" max="8181" width="10.25" bestFit="1" customWidth="1"/>
    <col min="8182" max="8184" width="6.875" bestFit="1" customWidth="1"/>
    <col min="8185" max="8185" width="9.25" bestFit="1" customWidth="1"/>
    <col min="8186" max="8186" width="17.875" bestFit="1" customWidth="1"/>
    <col min="8187" max="8187" width="6.875" bestFit="1" customWidth="1"/>
    <col min="8188" max="8188" width="10.25" bestFit="1" customWidth="1"/>
    <col min="8189" max="8191" width="6.875" bestFit="1" customWidth="1"/>
    <col min="8192" max="8192" width="9.25" bestFit="1" customWidth="1"/>
    <col min="8193" max="8193" width="17.875" bestFit="1" customWidth="1"/>
    <col min="8194" max="8194" width="6.875" bestFit="1" customWidth="1"/>
    <col min="8195" max="8195" width="10.25" bestFit="1" customWidth="1"/>
    <col min="8196" max="8198" width="6.875" bestFit="1" customWidth="1"/>
    <col min="8199" max="8199" width="9.25" bestFit="1" customWidth="1"/>
    <col min="8200" max="8200" width="17.875" bestFit="1" customWidth="1"/>
    <col min="8201" max="8201" width="6.875" bestFit="1" customWidth="1"/>
    <col min="8202" max="8202" width="10.25" bestFit="1" customWidth="1"/>
    <col min="8203" max="8205" width="6.875" bestFit="1" customWidth="1"/>
    <col min="8206" max="8206" width="9.25" bestFit="1" customWidth="1"/>
    <col min="8207" max="8207" width="17.875" bestFit="1" customWidth="1"/>
    <col min="8208" max="8208" width="6.875" bestFit="1" customWidth="1"/>
    <col min="8209" max="8209" width="10.25" bestFit="1" customWidth="1"/>
    <col min="8210" max="8212" width="6.875" bestFit="1" customWidth="1"/>
    <col min="8213" max="8213" width="9.25" bestFit="1" customWidth="1"/>
    <col min="8214" max="8214" width="17.875" bestFit="1" customWidth="1"/>
    <col min="8215" max="8215" width="6.875" bestFit="1" customWidth="1"/>
    <col min="8216" max="8216" width="10.25" bestFit="1" customWidth="1"/>
    <col min="8217" max="8219" width="6.875" bestFit="1" customWidth="1"/>
    <col min="8220" max="8220" width="9.25" bestFit="1" customWidth="1"/>
    <col min="8221" max="8221" width="17.875" bestFit="1" customWidth="1"/>
    <col min="8222" max="8222" width="6.875" bestFit="1" customWidth="1"/>
    <col min="8223" max="8223" width="10.25" bestFit="1" customWidth="1"/>
    <col min="8224" max="8226" width="6.875" bestFit="1" customWidth="1"/>
    <col min="8227" max="8227" width="10.25" bestFit="1" customWidth="1"/>
    <col min="8228" max="8228" width="17.875" bestFit="1" customWidth="1"/>
    <col min="8229" max="8229" width="6.875" bestFit="1" customWidth="1"/>
    <col min="8230" max="8230" width="10.25" bestFit="1" customWidth="1"/>
    <col min="8231" max="8233" width="6.875" bestFit="1" customWidth="1"/>
    <col min="8234" max="8235" width="9.25" bestFit="1" customWidth="1"/>
    <col min="8236" max="8236" width="17.875" bestFit="1" customWidth="1"/>
    <col min="8237" max="8237" width="5.875" bestFit="1" customWidth="1"/>
    <col min="8238" max="8238" width="8.875" bestFit="1" customWidth="1"/>
    <col min="8239" max="8241" width="5.875" bestFit="1" customWidth="1"/>
    <col min="8242" max="8242" width="10.25" bestFit="1" customWidth="1"/>
    <col min="8243" max="8243" width="17.875" bestFit="1" customWidth="1"/>
    <col min="8244" max="8244" width="5.875" bestFit="1" customWidth="1"/>
    <col min="8245" max="8245" width="8.875" bestFit="1" customWidth="1"/>
    <col min="8246" max="8248" width="5.875" bestFit="1" customWidth="1"/>
    <col min="8249" max="8249" width="10.25" bestFit="1" customWidth="1"/>
    <col min="8250" max="8250" width="17.875" bestFit="1" customWidth="1"/>
    <col min="8251" max="8251" width="5.875" bestFit="1" customWidth="1"/>
    <col min="8252" max="8252" width="7.875" bestFit="1" customWidth="1"/>
    <col min="8253" max="8255" width="5.875" bestFit="1" customWidth="1"/>
    <col min="8256" max="8256" width="9.25" bestFit="1" customWidth="1"/>
    <col min="8257" max="8257" width="17.875" bestFit="1" customWidth="1"/>
    <col min="8258" max="8258" width="5.875" bestFit="1" customWidth="1"/>
    <col min="8259" max="8259" width="8.875" bestFit="1" customWidth="1"/>
    <col min="8260" max="8262" width="5.875" bestFit="1" customWidth="1"/>
    <col min="8263" max="8263" width="10.25" bestFit="1" customWidth="1"/>
    <col min="8264" max="8264" width="17.875" bestFit="1" customWidth="1"/>
    <col min="8265" max="8265" width="5.875" bestFit="1" customWidth="1"/>
    <col min="8266" max="8266" width="8.875" bestFit="1" customWidth="1"/>
    <col min="8267" max="8269" width="5.875" bestFit="1" customWidth="1"/>
    <col min="8270" max="8270" width="9.25" bestFit="1" customWidth="1"/>
    <col min="8271" max="8271" width="17.875" bestFit="1" customWidth="1"/>
    <col min="8272" max="8272" width="5.875" bestFit="1" customWidth="1"/>
    <col min="8273" max="8273" width="8.875" bestFit="1" customWidth="1"/>
    <col min="8274" max="8276" width="5.875" bestFit="1" customWidth="1"/>
    <col min="8277" max="8277" width="9.25" bestFit="1" customWidth="1"/>
    <col min="8278" max="8278" width="17.875" bestFit="1" customWidth="1"/>
    <col min="8279" max="8279" width="5.875" bestFit="1" customWidth="1"/>
    <col min="8280" max="8280" width="7.875" bestFit="1" customWidth="1"/>
    <col min="8281" max="8283" width="5.875" bestFit="1" customWidth="1"/>
    <col min="8284" max="8284" width="9.25" bestFit="1" customWidth="1"/>
    <col min="8285" max="8285" width="17.875" bestFit="1" customWidth="1"/>
    <col min="8286" max="8286" width="5.875" bestFit="1" customWidth="1"/>
    <col min="8287" max="8287" width="8.875" bestFit="1" customWidth="1"/>
    <col min="8288" max="8290" width="5.875" bestFit="1" customWidth="1"/>
    <col min="8291" max="8291" width="9.25" bestFit="1" customWidth="1"/>
    <col min="8292" max="8292" width="10.25" bestFit="1" customWidth="1"/>
    <col min="8293" max="8293" width="17.875" bestFit="1" customWidth="1"/>
    <col min="8294" max="8294" width="6.875" bestFit="1" customWidth="1"/>
    <col min="8295" max="8295" width="10.25" bestFit="1" customWidth="1"/>
    <col min="8296" max="8298" width="6.875" bestFit="1" customWidth="1"/>
    <col min="8299" max="8299" width="10.25" bestFit="1" customWidth="1"/>
    <col min="8300" max="8300" width="17.875" bestFit="1" customWidth="1"/>
    <col min="8301" max="8301" width="6.875" bestFit="1" customWidth="1"/>
    <col min="8302" max="8302" width="10.25" bestFit="1" customWidth="1"/>
    <col min="8303" max="8305" width="6.875" bestFit="1" customWidth="1"/>
    <col min="8306" max="8306" width="10.25" bestFit="1" customWidth="1"/>
    <col min="8307" max="8307" width="17.875" bestFit="1" customWidth="1"/>
    <col min="8308" max="8308" width="6.875" bestFit="1" customWidth="1"/>
    <col min="8309" max="8309" width="10.25" bestFit="1" customWidth="1"/>
    <col min="8310" max="8312" width="6.875" bestFit="1" customWidth="1"/>
    <col min="8313" max="8313" width="10.25" bestFit="1" customWidth="1"/>
    <col min="8314" max="8314" width="17.875" bestFit="1" customWidth="1"/>
    <col min="8315" max="8315" width="6.875" bestFit="1" customWidth="1"/>
    <col min="8316" max="8316" width="10.25" bestFit="1" customWidth="1"/>
    <col min="8317" max="8319" width="6.875" bestFit="1" customWidth="1"/>
    <col min="8320" max="8320" width="10.25" bestFit="1" customWidth="1"/>
    <col min="8321" max="8321" width="17.875" bestFit="1" customWidth="1"/>
    <col min="8322" max="8322" width="6.875" bestFit="1" customWidth="1"/>
    <col min="8323" max="8323" width="10.25" bestFit="1" customWidth="1"/>
    <col min="8324" max="8326" width="6.875" bestFit="1" customWidth="1"/>
    <col min="8327" max="8327" width="10.25" bestFit="1" customWidth="1"/>
    <col min="8328" max="8328" width="17.875" bestFit="1" customWidth="1"/>
    <col min="8329" max="8329" width="6.875" bestFit="1" customWidth="1"/>
    <col min="8330" max="8330" width="10.25" bestFit="1" customWidth="1"/>
    <col min="8331" max="8333" width="6.875" bestFit="1" customWidth="1"/>
    <col min="8334" max="8334" width="10.25" bestFit="1" customWidth="1"/>
    <col min="8335" max="8335" width="17.875" bestFit="1" customWidth="1"/>
    <col min="8336" max="8336" width="6.875" bestFit="1" customWidth="1"/>
    <col min="8337" max="8337" width="10.25" bestFit="1" customWidth="1"/>
    <col min="8338" max="8340" width="6.875" bestFit="1" customWidth="1"/>
    <col min="8341" max="8341" width="10.25" bestFit="1" customWidth="1"/>
    <col min="8342" max="8342" width="17.875" bestFit="1" customWidth="1"/>
    <col min="8343" max="8343" width="6.875" bestFit="1" customWidth="1"/>
    <col min="8344" max="8344" width="10.25" bestFit="1" customWidth="1"/>
    <col min="8345" max="8347" width="6.875" bestFit="1" customWidth="1"/>
    <col min="8348" max="8348" width="10.25" bestFit="1" customWidth="1"/>
    <col min="8349" max="8349" width="7.125" bestFit="1" customWidth="1"/>
    <col min="8350" max="8350" width="17.875" bestFit="1" customWidth="1"/>
    <col min="8351" max="8351" width="5.25" bestFit="1" customWidth="1"/>
    <col min="8352" max="8352" width="7.125" bestFit="1" customWidth="1"/>
    <col min="8353" max="8355" width="5.25" bestFit="1" customWidth="1"/>
    <col min="8356" max="8356" width="7.125" bestFit="1" customWidth="1"/>
    <col min="8357" max="8357" width="17.875" bestFit="1" customWidth="1"/>
    <col min="8358" max="8358" width="5.25" bestFit="1" customWidth="1"/>
    <col min="8359" max="8359" width="7.125" bestFit="1" customWidth="1"/>
    <col min="8360" max="8362" width="5.25" bestFit="1" customWidth="1"/>
    <col min="8363" max="8363" width="7.125" bestFit="1" customWidth="1"/>
    <col min="8364" max="8364" width="17.875" bestFit="1" customWidth="1"/>
    <col min="8365" max="8365" width="5.25" bestFit="1" customWidth="1"/>
    <col min="8366" max="8366" width="7.125" bestFit="1" customWidth="1"/>
    <col min="8367" max="8369" width="5.25" bestFit="1" customWidth="1"/>
    <col min="8370" max="8370" width="7.125" bestFit="1" customWidth="1"/>
    <col min="8371" max="8371" width="17.875" bestFit="1" customWidth="1"/>
    <col min="8372" max="8372" width="5.25" bestFit="1" customWidth="1"/>
    <col min="8373" max="8373" width="7.125" bestFit="1" customWidth="1"/>
    <col min="8374" max="8376" width="5.25" bestFit="1" customWidth="1"/>
    <col min="8377" max="8377" width="7.125" bestFit="1" customWidth="1"/>
    <col min="8378" max="8378" width="17.875" bestFit="1" customWidth="1"/>
    <col min="8379" max="8379" width="5.25" bestFit="1" customWidth="1"/>
    <col min="8380" max="8380" width="7.125" bestFit="1" customWidth="1"/>
    <col min="8381" max="8383" width="5.25" bestFit="1" customWidth="1"/>
    <col min="8384" max="8384" width="7.125" bestFit="1" customWidth="1"/>
    <col min="8385" max="8385" width="17.875" bestFit="1" customWidth="1"/>
    <col min="8386" max="8386" width="5.25" bestFit="1" customWidth="1"/>
    <col min="8387" max="8387" width="7.125" bestFit="1" customWidth="1"/>
    <col min="8388" max="8390" width="5.25" bestFit="1" customWidth="1"/>
    <col min="8391" max="8391" width="7.125" bestFit="1" customWidth="1"/>
    <col min="8392" max="8392" width="17.875" bestFit="1" customWidth="1"/>
    <col min="8393" max="8393" width="5.25" bestFit="1" customWidth="1"/>
    <col min="8394" max="8394" width="7.125" bestFit="1" customWidth="1"/>
    <col min="8395" max="8397" width="5.25" bestFit="1" customWidth="1"/>
    <col min="8398" max="8398" width="7.125" bestFit="1" customWidth="1"/>
    <col min="8399" max="8399" width="17.875" bestFit="1" customWidth="1"/>
    <col min="8400" max="8400" width="5.25" bestFit="1" customWidth="1"/>
    <col min="8401" max="8401" width="7.125" bestFit="1" customWidth="1"/>
    <col min="8402" max="8404" width="5.25" bestFit="1" customWidth="1"/>
    <col min="8405" max="8405" width="7.125" bestFit="1" customWidth="1"/>
    <col min="8406" max="8406" width="17.875" bestFit="1" customWidth="1"/>
    <col min="8407" max="8407" width="6.875" bestFit="1" customWidth="1"/>
    <col min="8408" max="8408" width="10.25" bestFit="1" customWidth="1"/>
    <col min="8409" max="8411" width="6.875" bestFit="1" customWidth="1"/>
    <col min="8412" max="8412" width="10.25" bestFit="1" customWidth="1"/>
    <col min="8413" max="8413" width="17.875" bestFit="1" customWidth="1"/>
    <col min="8414" max="8414" width="6.875" bestFit="1" customWidth="1"/>
    <col min="8415" max="8415" width="10.25" bestFit="1" customWidth="1"/>
    <col min="8416" max="8418" width="6.875" bestFit="1" customWidth="1"/>
    <col min="8419" max="8419" width="10.25" bestFit="1" customWidth="1"/>
    <col min="8420" max="8420" width="17.875" bestFit="1" customWidth="1"/>
    <col min="8421" max="8421" width="6.875" bestFit="1" customWidth="1"/>
    <col min="8422" max="8422" width="10.25" bestFit="1" customWidth="1"/>
    <col min="8423" max="8425" width="6.875" bestFit="1" customWidth="1"/>
    <col min="8426" max="8426" width="10.25" bestFit="1" customWidth="1"/>
    <col min="8427" max="8427" width="17.875" bestFit="1" customWidth="1"/>
    <col min="8428" max="8428" width="6.875" bestFit="1" customWidth="1"/>
    <col min="8429" max="8429" width="10.25" bestFit="1" customWidth="1"/>
    <col min="8430" max="8432" width="6.875" bestFit="1" customWidth="1"/>
    <col min="8433" max="8433" width="10.25" bestFit="1" customWidth="1"/>
    <col min="8434" max="8434" width="17.875" bestFit="1" customWidth="1"/>
    <col min="8435" max="8435" width="6.875" bestFit="1" customWidth="1"/>
    <col min="8436" max="8436" width="10.25" bestFit="1" customWidth="1"/>
    <col min="8437" max="8439" width="6.875" bestFit="1" customWidth="1"/>
    <col min="8440" max="8440" width="10.25" bestFit="1" customWidth="1"/>
    <col min="8441" max="8441" width="17.875" bestFit="1" customWidth="1"/>
    <col min="8442" max="8442" width="6.875" bestFit="1" customWidth="1"/>
    <col min="8443" max="8443" width="10.25" bestFit="1" customWidth="1"/>
    <col min="8444" max="8446" width="6.875" bestFit="1" customWidth="1"/>
    <col min="8447" max="8447" width="10.25" bestFit="1" customWidth="1"/>
    <col min="8448" max="8448" width="17.875" bestFit="1" customWidth="1"/>
    <col min="8449" max="8449" width="6.875" bestFit="1" customWidth="1"/>
    <col min="8450" max="8450" width="10.25" bestFit="1" customWidth="1"/>
    <col min="8451" max="8453" width="6.875" bestFit="1" customWidth="1"/>
    <col min="8454" max="8454" width="10.25" bestFit="1" customWidth="1"/>
    <col min="8455" max="8455" width="17.875" bestFit="1" customWidth="1"/>
    <col min="8456" max="8456" width="6.875" bestFit="1" customWidth="1"/>
    <col min="8457" max="8457" width="10.25" bestFit="1" customWidth="1"/>
    <col min="8458" max="8460" width="6.875" bestFit="1" customWidth="1"/>
    <col min="8461" max="8461" width="10.25" bestFit="1" customWidth="1"/>
    <col min="8462" max="8462" width="17.875" bestFit="1" customWidth="1"/>
    <col min="8463" max="8463" width="6.875" bestFit="1" customWidth="1"/>
    <col min="8464" max="8464" width="10.25" bestFit="1" customWidth="1"/>
    <col min="8465" max="8467" width="6.875" bestFit="1" customWidth="1"/>
    <col min="8468" max="8469" width="10.25" bestFit="1" customWidth="1"/>
    <col min="8470" max="8470" width="17.875" bestFit="1" customWidth="1"/>
    <col min="8471" max="8471" width="6.875" bestFit="1" customWidth="1"/>
    <col min="8472" max="8472" width="10.25" bestFit="1" customWidth="1"/>
    <col min="8473" max="8475" width="6.875" bestFit="1" customWidth="1"/>
    <col min="8476" max="8476" width="10.25" bestFit="1" customWidth="1"/>
    <col min="8477" max="8477" width="17.875" bestFit="1" customWidth="1"/>
    <col min="8478" max="8478" width="6.875" bestFit="1" customWidth="1"/>
    <col min="8479" max="8479" width="10.25" bestFit="1" customWidth="1"/>
    <col min="8480" max="8482" width="6.875" bestFit="1" customWidth="1"/>
    <col min="8483" max="8483" width="10.25" bestFit="1" customWidth="1"/>
    <col min="8484" max="8484" width="17.875" bestFit="1" customWidth="1"/>
    <col min="8485" max="8485" width="6.875" bestFit="1" customWidth="1"/>
    <col min="8486" max="8486" width="10.25" bestFit="1" customWidth="1"/>
    <col min="8487" max="8489" width="6.875" bestFit="1" customWidth="1"/>
    <col min="8490" max="8490" width="10.25" bestFit="1" customWidth="1"/>
    <col min="8491" max="8491" width="17.875" bestFit="1" customWidth="1"/>
    <col min="8492" max="8492" width="6.875" bestFit="1" customWidth="1"/>
    <col min="8493" max="8493" width="10.25" bestFit="1" customWidth="1"/>
    <col min="8494" max="8496" width="6.875" bestFit="1" customWidth="1"/>
    <col min="8497" max="8497" width="10.25" bestFit="1" customWidth="1"/>
    <col min="8498" max="8498" width="17.875" bestFit="1" customWidth="1"/>
    <col min="8499" max="8499" width="6.875" bestFit="1" customWidth="1"/>
    <col min="8500" max="8500" width="10.25" bestFit="1" customWidth="1"/>
    <col min="8501" max="8503" width="6.875" bestFit="1" customWidth="1"/>
    <col min="8504" max="8504" width="10.25" bestFit="1" customWidth="1"/>
    <col min="8505" max="8505" width="17.875" bestFit="1" customWidth="1"/>
    <col min="8506" max="8506" width="6.875" bestFit="1" customWidth="1"/>
    <col min="8507" max="8507" width="10.25" bestFit="1" customWidth="1"/>
    <col min="8508" max="8510" width="6.875" bestFit="1" customWidth="1"/>
    <col min="8511" max="8511" width="10.25" bestFit="1" customWidth="1"/>
    <col min="8512" max="8512" width="17.875" bestFit="1" customWidth="1"/>
    <col min="8513" max="8513" width="6.875" bestFit="1" customWidth="1"/>
    <col min="8514" max="8514" width="10.25" bestFit="1" customWidth="1"/>
    <col min="8515" max="8517" width="6.875" bestFit="1" customWidth="1"/>
    <col min="8518" max="8518" width="10.25" bestFit="1" customWidth="1"/>
    <col min="8519" max="8519" width="17.875" bestFit="1" customWidth="1"/>
    <col min="8520" max="8520" width="6.875" bestFit="1" customWidth="1"/>
    <col min="8521" max="8521" width="10.25" bestFit="1" customWidth="1"/>
    <col min="8522" max="8524" width="6.875" bestFit="1" customWidth="1"/>
    <col min="8525" max="8526" width="10.25" bestFit="1" customWidth="1"/>
    <col min="8527" max="8527" width="17.875" bestFit="1" customWidth="1"/>
    <col min="8528" max="8528" width="6.875" bestFit="1" customWidth="1"/>
    <col min="8529" max="8529" width="10.25" bestFit="1" customWidth="1"/>
    <col min="8530" max="8532" width="6.875" bestFit="1" customWidth="1"/>
    <col min="8533" max="8533" width="10.25" bestFit="1" customWidth="1"/>
    <col min="8534" max="8534" width="17.875" bestFit="1" customWidth="1"/>
    <col min="8535" max="8535" width="6.875" bestFit="1" customWidth="1"/>
    <col min="8536" max="8536" width="10.25" bestFit="1" customWidth="1"/>
    <col min="8537" max="8539" width="6.875" bestFit="1" customWidth="1"/>
    <col min="8540" max="8540" width="10.25" bestFit="1" customWidth="1"/>
    <col min="8541" max="8541" width="17.875" bestFit="1" customWidth="1"/>
    <col min="8542" max="8542" width="6.875" bestFit="1" customWidth="1"/>
    <col min="8543" max="8543" width="10.25" bestFit="1" customWidth="1"/>
    <col min="8544" max="8546" width="6.875" bestFit="1" customWidth="1"/>
    <col min="8547" max="8547" width="10.25" bestFit="1" customWidth="1"/>
    <col min="8548" max="8548" width="17.875" bestFit="1" customWidth="1"/>
    <col min="8549" max="8549" width="6.875" bestFit="1" customWidth="1"/>
    <col min="8550" max="8550" width="10.25" bestFit="1" customWidth="1"/>
    <col min="8551" max="8553" width="6.875" bestFit="1" customWidth="1"/>
    <col min="8554" max="8554" width="10.25" bestFit="1" customWidth="1"/>
    <col min="8555" max="8555" width="17.875" bestFit="1" customWidth="1"/>
    <col min="8556" max="8556" width="6.875" bestFit="1" customWidth="1"/>
    <col min="8557" max="8557" width="10.25" bestFit="1" customWidth="1"/>
    <col min="8558" max="8560" width="6.875" bestFit="1" customWidth="1"/>
    <col min="8561" max="8561" width="10.25" bestFit="1" customWidth="1"/>
    <col min="8562" max="8562" width="17.875" bestFit="1" customWidth="1"/>
    <col min="8563" max="8563" width="6.875" bestFit="1" customWidth="1"/>
    <col min="8564" max="8564" width="10.25" bestFit="1" customWidth="1"/>
    <col min="8565" max="8567" width="6.875" bestFit="1" customWidth="1"/>
    <col min="8568" max="8568" width="10.25" bestFit="1" customWidth="1"/>
    <col min="8569" max="8569" width="17.875" bestFit="1" customWidth="1"/>
    <col min="8570" max="8570" width="6.875" bestFit="1" customWidth="1"/>
    <col min="8571" max="8571" width="10.25" bestFit="1" customWidth="1"/>
    <col min="8572" max="8574" width="6.875" bestFit="1" customWidth="1"/>
    <col min="8575" max="8575" width="10.25" bestFit="1" customWidth="1"/>
    <col min="8576" max="8576" width="17.875" bestFit="1" customWidth="1"/>
    <col min="8577" max="8577" width="6.875" bestFit="1" customWidth="1"/>
    <col min="8578" max="8578" width="10.25" bestFit="1" customWidth="1"/>
    <col min="8579" max="8581" width="6.875" bestFit="1" customWidth="1"/>
    <col min="8582" max="8583" width="10.25" bestFit="1" customWidth="1"/>
    <col min="8584" max="8584" width="17.875" bestFit="1" customWidth="1"/>
    <col min="8585" max="8585" width="6.875" bestFit="1" customWidth="1"/>
    <col min="8586" max="8586" width="10.25" bestFit="1" customWidth="1"/>
    <col min="8587" max="8589" width="6.875" bestFit="1" customWidth="1"/>
    <col min="8590" max="8590" width="10.25" bestFit="1" customWidth="1"/>
    <col min="8591" max="8591" width="17.875" bestFit="1" customWidth="1"/>
    <col min="8592" max="8592" width="6.875" bestFit="1" customWidth="1"/>
    <col min="8593" max="8593" width="10.25" bestFit="1" customWidth="1"/>
    <col min="8594" max="8596" width="6.875" bestFit="1" customWidth="1"/>
    <col min="8597" max="8597" width="10.25" bestFit="1" customWidth="1"/>
    <col min="8598" max="8598" width="17.875" bestFit="1" customWidth="1"/>
    <col min="8599" max="8599" width="6.875" bestFit="1" customWidth="1"/>
    <col min="8600" max="8600" width="10.25" bestFit="1" customWidth="1"/>
    <col min="8601" max="8603" width="6.875" bestFit="1" customWidth="1"/>
    <col min="8604" max="8604" width="10.25" bestFit="1" customWidth="1"/>
    <col min="8605" max="8605" width="17.875" bestFit="1" customWidth="1"/>
    <col min="8606" max="8606" width="6.875" bestFit="1" customWidth="1"/>
    <col min="8607" max="8607" width="10.25" bestFit="1" customWidth="1"/>
    <col min="8608" max="8610" width="6.875" bestFit="1" customWidth="1"/>
    <col min="8611" max="8611" width="10.25" bestFit="1" customWidth="1"/>
    <col min="8612" max="8612" width="17.875" bestFit="1" customWidth="1"/>
    <col min="8613" max="8613" width="6.875" bestFit="1" customWidth="1"/>
    <col min="8614" max="8614" width="10.25" bestFit="1" customWidth="1"/>
    <col min="8615" max="8617" width="6.875" bestFit="1" customWidth="1"/>
    <col min="8618" max="8618" width="10.25" bestFit="1" customWidth="1"/>
    <col min="8619" max="8619" width="17.875" bestFit="1" customWidth="1"/>
    <col min="8620" max="8620" width="6.875" bestFit="1" customWidth="1"/>
    <col min="8621" max="8621" width="10.25" bestFit="1" customWidth="1"/>
    <col min="8622" max="8624" width="6.875" bestFit="1" customWidth="1"/>
    <col min="8625" max="8625" width="10.25" bestFit="1" customWidth="1"/>
    <col min="8626" max="8626" width="17.875" bestFit="1" customWidth="1"/>
    <col min="8627" max="8627" width="6.875" bestFit="1" customWidth="1"/>
    <col min="8628" max="8628" width="10.25" bestFit="1" customWidth="1"/>
    <col min="8629" max="8631" width="6.875" bestFit="1" customWidth="1"/>
    <col min="8632" max="8632" width="10.25" bestFit="1" customWidth="1"/>
    <col min="8633" max="8633" width="17.875" bestFit="1" customWidth="1"/>
    <col min="8634" max="8634" width="6.875" bestFit="1" customWidth="1"/>
    <col min="8635" max="8635" width="10.25" bestFit="1" customWidth="1"/>
    <col min="8636" max="8638" width="6.875" bestFit="1" customWidth="1"/>
    <col min="8639" max="8640" width="10.25" bestFit="1" customWidth="1"/>
    <col min="8641" max="8641" width="17.875" bestFit="1" customWidth="1"/>
    <col min="8642" max="8642" width="6.875" bestFit="1" customWidth="1"/>
    <col min="8643" max="8643" width="10.25" bestFit="1" customWidth="1"/>
    <col min="8644" max="8646" width="6.875" bestFit="1" customWidth="1"/>
    <col min="8647" max="8647" width="10.25" bestFit="1" customWidth="1"/>
    <col min="8648" max="8648" width="17.875" bestFit="1" customWidth="1"/>
    <col min="8649" max="8649" width="6.875" bestFit="1" customWidth="1"/>
    <col min="8650" max="8650" width="10.25" bestFit="1" customWidth="1"/>
    <col min="8651" max="8653" width="6.875" bestFit="1" customWidth="1"/>
    <col min="8654" max="8654" width="10.25" bestFit="1" customWidth="1"/>
    <col min="8655" max="8655" width="17.875" bestFit="1" customWidth="1"/>
    <col min="8656" max="8656" width="6.875" bestFit="1" customWidth="1"/>
    <col min="8657" max="8657" width="10.25" bestFit="1" customWidth="1"/>
    <col min="8658" max="8660" width="6.875" bestFit="1" customWidth="1"/>
    <col min="8661" max="8661" width="10.25" bestFit="1" customWidth="1"/>
    <col min="8662" max="8662" width="17.875" bestFit="1" customWidth="1"/>
    <col min="8663" max="8663" width="6.875" bestFit="1" customWidth="1"/>
    <col min="8664" max="8664" width="10.25" bestFit="1" customWidth="1"/>
    <col min="8665" max="8667" width="6.875" bestFit="1" customWidth="1"/>
    <col min="8668" max="8668" width="10.25" bestFit="1" customWidth="1"/>
    <col min="8669" max="8669" width="17.875" bestFit="1" customWidth="1"/>
    <col min="8670" max="8670" width="6.875" bestFit="1" customWidth="1"/>
    <col min="8671" max="8671" width="10.25" bestFit="1" customWidth="1"/>
    <col min="8672" max="8674" width="6.875" bestFit="1" customWidth="1"/>
    <col min="8675" max="8675" width="10.25" bestFit="1" customWidth="1"/>
    <col min="8676" max="8676" width="17.875" bestFit="1" customWidth="1"/>
    <col min="8677" max="8677" width="6.875" bestFit="1" customWidth="1"/>
    <col min="8678" max="8678" width="10.25" bestFit="1" customWidth="1"/>
    <col min="8679" max="8681" width="6.875" bestFit="1" customWidth="1"/>
    <col min="8682" max="8682" width="10.25" bestFit="1" customWidth="1"/>
    <col min="8683" max="8683" width="17.875" bestFit="1" customWidth="1"/>
    <col min="8684" max="8684" width="6.875" bestFit="1" customWidth="1"/>
    <col min="8685" max="8685" width="10.25" bestFit="1" customWidth="1"/>
    <col min="8686" max="8688" width="6.875" bestFit="1" customWidth="1"/>
    <col min="8689" max="8689" width="10.25" bestFit="1" customWidth="1"/>
    <col min="8690" max="8690" width="17.875" bestFit="1" customWidth="1"/>
    <col min="8691" max="8691" width="6.875" bestFit="1" customWidth="1"/>
    <col min="8692" max="8692" width="10.25" bestFit="1" customWidth="1"/>
    <col min="8693" max="8695" width="6.875" bestFit="1" customWidth="1"/>
    <col min="8696" max="8697" width="10.25" bestFit="1" customWidth="1"/>
    <col min="8698" max="8698" width="17.875" bestFit="1" customWidth="1"/>
    <col min="8699" max="8699" width="6.875" bestFit="1" customWidth="1"/>
    <col min="8700" max="8700" width="10.25" bestFit="1" customWidth="1"/>
    <col min="8701" max="8703" width="6.875" bestFit="1" customWidth="1"/>
    <col min="8704" max="8704" width="10.25" bestFit="1" customWidth="1"/>
    <col min="8705" max="8705" width="17.875" bestFit="1" customWidth="1"/>
    <col min="8706" max="8706" width="6.875" bestFit="1" customWidth="1"/>
    <col min="8707" max="8707" width="10.25" bestFit="1" customWidth="1"/>
    <col min="8708" max="8710" width="6.875" bestFit="1" customWidth="1"/>
    <col min="8711" max="8711" width="10.25" bestFit="1" customWidth="1"/>
    <col min="8712" max="8712" width="17.875" bestFit="1" customWidth="1"/>
    <col min="8713" max="8713" width="6.875" bestFit="1" customWidth="1"/>
    <col min="8714" max="8714" width="10.25" bestFit="1" customWidth="1"/>
    <col min="8715" max="8717" width="6.875" bestFit="1" customWidth="1"/>
    <col min="8718" max="8718" width="10.25" bestFit="1" customWidth="1"/>
    <col min="8719" max="8719" width="17.875" bestFit="1" customWidth="1"/>
    <col min="8720" max="8720" width="6.875" bestFit="1" customWidth="1"/>
    <col min="8721" max="8721" width="10.25" bestFit="1" customWidth="1"/>
    <col min="8722" max="8724" width="6.875" bestFit="1" customWidth="1"/>
    <col min="8725" max="8725" width="10.25" bestFit="1" customWidth="1"/>
    <col min="8726" max="8726" width="17.875" bestFit="1" customWidth="1"/>
    <col min="8727" max="8727" width="6.875" bestFit="1" customWidth="1"/>
    <col min="8728" max="8728" width="10.25" bestFit="1" customWidth="1"/>
    <col min="8729" max="8731" width="6.875" bestFit="1" customWidth="1"/>
    <col min="8732" max="8732" width="10.25" bestFit="1" customWidth="1"/>
    <col min="8733" max="8733" width="17.875" bestFit="1" customWidth="1"/>
    <col min="8734" max="8734" width="6.875" bestFit="1" customWidth="1"/>
    <col min="8735" max="8735" width="10.25" bestFit="1" customWidth="1"/>
    <col min="8736" max="8738" width="6.875" bestFit="1" customWidth="1"/>
    <col min="8739" max="8739" width="10.25" bestFit="1" customWidth="1"/>
    <col min="8740" max="8740" width="17.875" bestFit="1" customWidth="1"/>
    <col min="8741" max="8741" width="6.875" bestFit="1" customWidth="1"/>
    <col min="8742" max="8742" width="10.25" bestFit="1" customWidth="1"/>
    <col min="8743" max="8745" width="6.875" bestFit="1" customWidth="1"/>
    <col min="8746" max="8746" width="10.25" bestFit="1" customWidth="1"/>
    <col min="8747" max="8747" width="17.875" bestFit="1" customWidth="1"/>
    <col min="8748" max="8748" width="6.875" bestFit="1" customWidth="1"/>
    <col min="8749" max="8749" width="10.25" bestFit="1" customWidth="1"/>
    <col min="8750" max="8752" width="6.875" bestFit="1" customWidth="1"/>
    <col min="8753" max="8754" width="10.25" bestFit="1" customWidth="1"/>
    <col min="8755" max="8755" width="17.875" bestFit="1" customWidth="1"/>
    <col min="8756" max="8756" width="6.875" bestFit="1" customWidth="1"/>
    <col min="8757" max="8757" width="10.25" bestFit="1" customWidth="1"/>
    <col min="8758" max="8760" width="6.875" bestFit="1" customWidth="1"/>
    <col min="8761" max="8761" width="10.25" bestFit="1" customWidth="1"/>
    <col min="8762" max="8762" width="17.875" bestFit="1" customWidth="1"/>
    <col min="8763" max="8763" width="6.875" bestFit="1" customWidth="1"/>
    <col min="8764" max="8764" width="10.25" bestFit="1" customWidth="1"/>
    <col min="8765" max="8767" width="6.875" bestFit="1" customWidth="1"/>
    <col min="8768" max="8768" width="10.25" bestFit="1" customWidth="1"/>
    <col min="8769" max="8769" width="17.875" bestFit="1" customWidth="1"/>
    <col min="8770" max="8770" width="6.875" bestFit="1" customWidth="1"/>
    <col min="8771" max="8771" width="10.25" bestFit="1" customWidth="1"/>
    <col min="8772" max="8774" width="6.875" bestFit="1" customWidth="1"/>
    <col min="8775" max="8775" width="10.25" bestFit="1" customWidth="1"/>
    <col min="8776" max="8776" width="17.875" bestFit="1" customWidth="1"/>
    <col min="8777" max="8777" width="6.875" bestFit="1" customWidth="1"/>
    <col min="8778" max="8778" width="10.25" bestFit="1" customWidth="1"/>
    <col min="8779" max="8781" width="6.875" bestFit="1" customWidth="1"/>
    <col min="8782" max="8782" width="10.25" bestFit="1" customWidth="1"/>
    <col min="8783" max="8783" width="17.875" bestFit="1" customWidth="1"/>
    <col min="8784" max="8784" width="6.875" bestFit="1" customWidth="1"/>
    <col min="8785" max="8785" width="10.25" bestFit="1" customWidth="1"/>
    <col min="8786" max="8788" width="6.875" bestFit="1" customWidth="1"/>
    <col min="8789" max="8789" width="10.25" bestFit="1" customWidth="1"/>
    <col min="8790" max="8790" width="17.875" bestFit="1" customWidth="1"/>
    <col min="8791" max="8791" width="6.875" bestFit="1" customWidth="1"/>
    <col min="8792" max="8792" width="10.25" bestFit="1" customWidth="1"/>
    <col min="8793" max="8795" width="6.875" bestFit="1" customWidth="1"/>
    <col min="8796" max="8796" width="10.25" bestFit="1" customWidth="1"/>
    <col min="8797" max="8797" width="17.875" bestFit="1" customWidth="1"/>
    <col min="8798" max="8798" width="6.875" bestFit="1" customWidth="1"/>
    <col min="8799" max="8799" width="10.25" bestFit="1" customWidth="1"/>
    <col min="8800" max="8802" width="6.875" bestFit="1" customWidth="1"/>
    <col min="8803" max="8803" width="10.25" bestFit="1" customWidth="1"/>
    <col min="8804" max="8804" width="17.875" bestFit="1" customWidth="1"/>
    <col min="8805" max="8805" width="6.875" bestFit="1" customWidth="1"/>
    <col min="8806" max="8806" width="10.25" bestFit="1" customWidth="1"/>
    <col min="8807" max="8809" width="6.875" bestFit="1" customWidth="1"/>
    <col min="8810" max="8811" width="10.25" bestFit="1" customWidth="1"/>
    <col min="8812" max="8812" width="17.875" bestFit="1" customWidth="1"/>
    <col min="8813" max="8813" width="6.875" bestFit="1" customWidth="1"/>
    <col min="8814" max="8814" width="10.25" bestFit="1" customWidth="1"/>
    <col min="8815" max="8817" width="6.875" bestFit="1" customWidth="1"/>
    <col min="8818" max="8818" width="10.25" bestFit="1" customWidth="1"/>
    <col min="8819" max="8819" width="17.875" bestFit="1" customWidth="1"/>
    <col min="8820" max="8820" width="6.875" bestFit="1" customWidth="1"/>
    <col min="8821" max="8821" width="10.25" bestFit="1" customWidth="1"/>
    <col min="8822" max="8824" width="6.875" bestFit="1" customWidth="1"/>
    <col min="8825" max="8825" width="10.25" bestFit="1" customWidth="1"/>
    <col min="8826" max="8826" width="17.875" bestFit="1" customWidth="1"/>
    <col min="8827" max="8827" width="6.875" bestFit="1" customWidth="1"/>
    <col min="8828" max="8828" width="10.25" bestFit="1" customWidth="1"/>
    <col min="8829" max="8831" width="6.875" bestFit="1" customWidth="1"/>
    <col min="8832" max="8832" width="10.25" bestFit="1" customWidth="1"/>
    <col min="8833" max="8833" width="17.875" bestFit="1" customWidth="1"/>
    <col min="8834" max="8834" width="6.875" bestFit="1" customWidth="1"/>
    <col min="8835" max="8835" width="10.25" bestFit="1" customWidth="1"/>
    <col min="8836" max="8838" width="6.875" bestFit="1" customWidth="1"/>
    <col min="8839" max="8839" width="10.25" bestFit="1" customWidth="1"/>
    <col min="8840" max="8840" width="17.875" bestFit="1" customWidth="1"/>
    <col min="8841" max="8841" width="6.875" bestFit="1" customWidth="1"/>
    <col min="8842" max="8842" width="10.25" bestFit="1" customWidth="1"/>
    <col min="8843" max="8845" width="6.875" bestFit="1" customWidth="1"/>
    <col min="8846" max="8846" width="10.25" bestFit="1" customWidth="1"/>
    <col min="8847" max="8847" width="17.875" bestFit="1" customWidth="1"/>
    <col min="8848" max="8848" width="6.875" bestFit="1" customWidth="1"/>
    <col min="8849" max="8849" width="10.25" bestFit="1" customWidth="1"/>
    <col min="8850" max="8852" width="6.875" bestFit="1" customWidth="1"/>
    <col min="8853" max="8853" width="10.25" bestFit="1" customWidth="1"/>
    <col min="8854" max="8854" width="17.875" bestFit="1" customWidth="1"/>
    <col min="8855" max="8855" width="6.875" bestFit="1" customWidth="1"/>
    <col min="8856" max="8856" width="10.25" bestFit="1" customWidth="1"/>
    <col min="8857" max="8859" width="6.875" bestFit="1" customWidth="1"/>
    <col min="8860" max="8860" width="10.25" bestFit="1" customWidth="1"/>
    <col min="8861" max="8861" width="17.875" bestFit="1" customWidth="1"/>
    <col min="8862" max="8862" width="6.875" bestFit="1" customWidth="1"/>
    <col min="8863" max="8863" width="10.25" bestFit="1" customWidth="1"/>
    <col min="8864" max="8866" width="6.875" bestFit="1" customWidth="1"/>
    <col min="8867" max="8868" width="10.25" bestFit="1" customWidth="1"/>
    <col min="8869" max="8869" width="17.875" bestFit="1" customWidth="1"/>
    <col min="8870" max="8870" width="6.875" bestFit="1" customWidth="1"/>
    <col min="8871" max="8871" width="10.25" bestFit="1" customWidth="1"/>
    <col min="8872" max="8874" width="6.875" bestFit="1" customWidth="1"/>
    <col min="8875" max="8875" width="10.25" bestFit="1" customWidth="1"/>
    <col min="8876" max="8876" width="17.875" bestFit="1" customWidth="1"/>
    <col min="8877" max="8877" width="6.875" bestFit="1" customWidth="1"/>
    <col min="8878" max="8878" width="10.25" bestFit="1" customWidth="1"/>
    <col min="8879" max="8881" width="6.875" bestFit="1" customWidth="1"/>
    <col min="8882" max="8882" width="10.25" bestFit="1" customWidth="1"/>
    <col min="8883" max="8883" width="17.875" bestFit="1" customWidth="1"/>
    <col min="8884" max="8884" width="6.875" bestFit="1" customWidth="1"/>
    <col min="8885" max="8885" width="10.25" bestFit="1" customWidth="1"/>
    <col min="8886" max="8888" width="6.875" bestFit="1" customWidth="1"/>
    <col min="8889" max="8889" width="10.25" bestFit="1" customWidth="1"/>
    <col min="8890" max="8890" width="17.875" bestFit="1" customWidth="1"/>
    <col min="8891" max="8891" width="6.875" bestFit="1" customWidth="1"/>
    <col min="8892" max="8892" width="10.25" bestFit="1" customWidth="1"/>
    <col min="8893" max="8895" width="6.875" bestFit="1" customWidth="1"/>
    <col min="8896" max="8896" width="10.25" bestFit="1" customWidth="1"/>
    <col min="8897" max="8897" width="17.875" bestFit="1" customWidth="1"/>
    <col min="8898" max="8898" width="6.875" bestFit="1" customWidth="1"/>
    <col min="8899" max="8899" width="10.25" bestFit="1" customWidth="1"/>
    <col min="8900" max="8902" width="6.875" bestFit="1" customWidth="1"/>
    <col min="8903" max="8903" width="10.25" bestFit="1" customWidth="1"/>
    <col min="8904" max="8904" width="17.875" bestFit="1" customWidth="1"/>
    <col min="8905" max="8905" width="6.875" bestFit="1" customWidth="1"/>
    <col min="8906" max="8906" width="10.25" bestFit="1" customWidth="1"/>
    <col min="8907" max="8909" width="6.875" bestFit="1" customWidth="1"/>
    <col min="8910" max="8910" width="10.25" bestFit="1" customWidth="1"/>
    <col min="8911" max="8911" width="17.875" bestFit="1" customWidth="1"/>
    <col min="8912" max="8912" width="6.875" bestFit="1" customWidth="1"/>
    <col min="8913" max="8913" width="10.25" bestFit="1" customWidth="1"/>
    <col min="8914" max="8916" width="6.875" bestFit="1" customWidth="1"/>
    <col min="8917" max="8917" width="10.25" bestFit="1" customWidth="1"/>
    <col min="8918" max="8918" width="17.875" bestFit="1" customWidth="1"/>
    <col min="8919" max="8919" width="6.875" bestFit="1" customWidth="1"/>
    <col min="8920" max="8920" width="10.25" bestFit="1" customWidth="1"/>
    <col min="8921" max="8923" width="6.875" bestFit="1" customWidth="1"/>
    <col min="8924" max="8925" width="10.25" bestFit="1" customWidth="1"/>
    <col min="8926" max="8926" width="17.875" bestFit="1" customWidth="1"/>
    <col min="8927" max="8927" width="6.875" bestFit="1" customWidth="1"/>
    <col min="8928" max="8928" width="10.25" bestFit="1" customWidth="1"/>
    <col min="8929" max="8931" width="6.875" bestFit="1" customWidth="1"/>
    <col min="8932" max="8932" width="10.25" bestFit="1" customWidth="1"/>
    <col min="8933" max="8933" width="17.875" bestFit="1" customWidth="1"/>
    <col min="8934" max="8934" width="6.875" bestFit="1" customWidth="1"/>
    <col min="8935" max="8935" width="10.25" bestFit="1" customWidth="1"/>
    <col min="8936" max="8938" width="6.875" bestFit="1" customWidth="1"/>
    <col min="8939" max="8939" width="10.25" bestFit="1" customWidth="1"/>
    <col min="8940" max="8940" width="17.875" bestFit="1" customWidth="1"/>
    <col min="8941" max="8941" width="6.875" bestFit="1" customWidth="1"/>
    <col min="8942" max="8942" width="10.25" bestFit="1" customWidth="1"/>
    <col min="8943" max="8945" width="6.875" bestFit="1" customWidth="1"/>
    <col min="8946" max="8946" width="10.25" bestFit="1" customWidth="1"/>
    <col min="8947" max="8947" width="17.875" bestFit="1" customWidth="1"/>
    <col min="8948" max="8948" width="6.875" bestFit="1" customWidth="1"/>
    <col min="8949" max="8949" width="10.25" bestFit="1" customWidth="1"/>
    <col min="8950" max="8952" width="6.875" bestFit="1" customWidth="1"/>
    <col min="8953" max="8953" width="10.25" bestFit="1" customWidth="1"/>
    <col min="8954" max="8954" width="17.875" bestFit="1" customWidth="1"/>
    <col min="8955" max="8955" width="6.875" bestFit="1" customWidth="1"/>
    <col min="8956" max="8956" width="10.25" bestFit="1" customWidth="1"/>
    <col min="8957" max="8959" width="6.875" bestFit="1" customWidth="1"/>
    <col min="8960" max="8960" width="10.25" bestFit="1" customWidth="1"/>
    <col min="8961" max="8961" width="17.875" bestFit="1" customWidth="1"/>
    <col min="8962" max="8962" width="6.875" bestFit="1" customWidth="1"/>
    <col min="8963" max="8963" width="10.25" bestFit="1" customWidth="1"/>
    <col min="8964" max="8966" width="6.875" bestFit="1" customWidth="1"/>
    <col min="8967" max="8967" width="10.25" bestFit="1" customWidth="1"/>
    <col min="8968" max="8968" width="17.875" bestFit="1" customWidth="1"/>
    <col min="8969" max="8969" width="6.875" bestFit="1" customWidth="1"/>
    <col min="8970" max="8970" width="10.25" bestFit="1" customWidth="1"/>
    <col min="8971" max="8973" width="6.875" bestFit="1" customWidth="1"/>
    <col min="8974" max="8974" width="10.25" bestFit="1" customWidth="1"/>
    <col min="8975" max="8975" width="17.875" bestFit="1" customWidth="1"/>
    <col min="8976" max="8976" width="6.875" bestFit="1" customWidth="1"/>
    <col min="8977" max="8977" width="10.25" bestFit="1" customWidth="1"/>
    <col min="8978" max="8980" width="6.875" bestFit="1" customWidth="1"/>
    <col min="8981" max="8982" width="10.25" bestFit="1" customWidth="1"/>
    <col min="8983" max="8983" width="17.875" bestFit="1" customWidth="1"/>
    <col min="8984" max="8984" width="6.875" bestFit="1" customWidth="1"/>
    <col min="8985" max="8985" width="10.25" bestFit="1" customWidth="1"/>
    <col min="8986" max="8988" width="6.875" bestFit="1" customWidth="1"/>
    <col min="8989" max="8989" width="10.25" bestFit="1" customWidth="1"/>
    <col min="8990" max="8990" width="17.875" bestFit="1" customWidth="1"/>
    <col min="8991" max="8991" width="6.875" bestFit="1" customWidth="1"/>
    <col min="8992" max="8992" width="10.25" bestFit="1" customWidth="1"/>
    <col min="8993" max="8995" width="6.875" bestFit="1" customWidth="1"/>
    <col min="8996" max="8996" width="10.25" bestFit="1" customWidth="1"/>
    <col min="8997" max="8997" width="17.875" bestFit="1" customWidth="1"/>
    <col min="8998" max="8998" width="6.875" bestFit="1" customWidth="1"/>
    <col min="8999" max="8999" width="10.25" bestFit="1" customWidth="1"/>
    <col min="9000" max="9002" width="6.875" bestFit="1" customWidth="1"/>
    <col min="9003" max="9003" width="10.25" bestFit="1" customWidth="1"/>
    <col min="9004" max="9004" width="17.875" bestFit="1" customWidth="1"/>
    <col min="9005" max="9005" width="6.875" bestFit="1" customWidth="1"/>
    <col min="9006" max="9006" width="10.25" bestFit="1" customWidth="1"/>
    <col min="9007" max="9009" width="6.875" bestFit="1" customWidth="1"/>
    <col min="9010" max="9010" width="10.25" bestFit="1" customWidth="1"/>
    <col min="9011" max="9011" width="17.875" bestFit="1" customWidth="1"/>
    <col min="9012" max="9012" width="6.875" bestFit="1" customWidth="1"/>
    <col min="9013" max="9013" width="10.25" bestFit="1" customWidth="1"/>
    <col min="9014" max="9016" width="6.875" bestFit="1" customWidth="1"/>
    <col min="9017" max="9017" width="10.25" bestFit="1" customWidth="1"/>
    <col min="9018" max="9018" width="17.875" bestFit="1" customWidth="1"/>
    <col min="9019" max="9019" width="6.875" bestFit="1" customWidth="1"/>
    <col min="9020" max="9020" width="10.25" bestFit="1" customWidth="1"/>
    <col min="9021" max="9023" width="6.875" bestFit="1" customWidth="1"/>
    <col min="9024" max="9024" width="10.25" bestFit="1" customWidth="1"/>
    <col min="9025" max="9025" width="17.875" bestFit="1" customWidth="1"/>
    <col min="9026" max="9026" width="6.875" bestFit="1" customWidth="1"/>
    <col min="9027" max="9027" width="10.25" bestFit="1" customWidth="1"/>
    <col min="9028" max="9030" width="6.875" bestFit="1" customWidth="1"/>
    <col min="9031" max="9031" width="10.25" bestFit="1" customWidth="1"/>
    <col min="9032" max="9032" width="17.875" bestFit="1" customWidth="1"/>
    <col min="9033" max="9033" width="6.875" bestFit="1" customWidth="1"/>
    <col min="9034" max="9034" width="10.25" bestFit="1" customWidth="1"/>
    <col min="9035" max="9037" width="6.875" bestFit="1" customWidth="1"/>
    <col min="9038" max="9039" width="10.25" bestFit="1" customWidth="1"/>
    <col min="9040" max="9040" width="17.875" bestFit="1" customWidth="1"/>
    <col min="9041" max="9041" width="6.875" bestFit="1" customWidth="1"/>
    <col min="9042" max="9042" width="10.25" bestFit="1" customWidth="1"/>
    <col min="9043" max="9045" width="6.875" bestFit="1" customWidth="1"/>
    <col min="9046" max="9046" width="10.25" bestFit="1" customWidth="1"/>
    <col min="9047" max="9047" width="17.875" bestFit="1" customWidth="1"/>
    <col min="9048" max="9048" width="6.875" bestFit="1" customWidth="1"/>
    <col min="9049" max="9049" width="10.25" bestFit="1" customWidth="1"/>
    <col min="9050" max="9052" width="6.875" bestFit="1" customWidth="1"/>
    <col min="9053" max="9053" width="10.25" bestFit="1" customWidth="1"/>
    <col min="9054" max="9054" width="17.875" bestFit="1" customWidth="1"/>
    <col min="9055" max="9055" width="6.875" bestFit="1" customWidth="1"/>
    <col min="9056" max="9056" width="10.25" bestFit="1" customWidth="1"/>
    <col min="9057" max="9059" width="6.875" bestFit="1" customWidth="1"/>
    <col min="9060" max="9060" width="10.25" bestFit="1" customWidth="1"/>
    <col min="9061" max="9061" width="17.875" bestFit="1" customWidth="1"/>
    <col min="9062" max="9062" width="6.875" bestFit="1" customWidth="1"/>
    <col min="9063" max="9063" width="10.25" bestFit="1" customWidth="1"/>
    <col min="9064" max="9066" width="6.875" bestFit="1" customWidth="1"/>
    <col min="9067" max="9067" width="10.25" bestFit="1" customWidth="1"/>
    <col min="9068" max="9068" width="17.875" bestFit="1" customWidth="1"/>
    <col min="9069" max="9069" width="6.875" bestFit="1" customWidth="1"/>
    <col min="9070" max="9070" width="10.25" bestFit="1" customWidth="1"/>
    <col min="9071" max="9073" width="6.875" bestFit="1" customWidth="1"/>
    <col min="9074" max="9074" width="10.25" bestFit="1" customWidth="1"/>
    <col min="9075" max="9075" width="17.875" bestFit="1" customWidth="1"/>
    <col min="9076" max="9076" width="6.875" bestFit="1" customWidth="1"/>
    <col min="9077" max="9077" width="10.25" bestFit="1" customWidth="1"/>
    <col min="9078" max="9080" width="6.875" bestFit="1" customWidth="1"/>
    <col min="9081" max="9081" width="10.25" bestFit="1" customWidth="1"/>
    <col min="9082" max="9082" width="17.875" bestFit="1" customWidth="1"/>
    <col min="9083" max="9083" width="6.875" bestFit="1" customWidth="1"/>
    <col min="9084" max="9084" width="10.25" bestFit="1" customWidth="1"/>
    <col min="9085" max="9087" width="6.875" bestFit="1" customWidth="1"/>
    <col min="9088" max="9088" width="10.25" bestFit="1" customWidth="1"/>
    <col min="9089" max="9089" width="17.875" bestFit="1" customWidth="1"/>
    <col min="9090" max="9090" width="6.875" bestFit="1" customWidth="1"/>
    <col min="9091" max="9091" width="10.25" bestFit="1" customWidth="1"/>
    <col min="9092" max="9094" width="6.875" bestFit="1" customWidth="1"/>
    <col min="9095" max="9096" width="10.25" bestFit="1" customWidth="1"/>
    <col min="9097" max="9097" width="17.875" bestFit="1" customWidth="1"/>
    <col min="9098" max="9098" width="6.875" bestFit="1" customWidth="1"/>
    <col min="9099" max="9099" width="10.25" bestFit="1" customWidth="1"/>
    <col min="9100" max="9102" width="6.875" bestFit="1" customWidth="1"/>
    <col min="9103" max="9103" width="10.25" bestFit="1" customWidth="1"/>
    <col min="9104" max="9104" width="17.875" bestFit="1" customWidth="1"/>
    <col min="9105" max="9105" width="6.875" bestFit="1" customWidth="1"/>
    <col min="9106" max="9106" width="10.25" bestFit="1" customWidth="1"/>
    <col min="9107" max="9109" width="6.875" bestFit="1" customWidth="1"/>
    <col min="9110" max="9110" width="10.25" bestFit="1" customWidth="1"/>
    <col min="9111" max="9111" width="17.875" bestFit="1" customWidth="1"/>
    <col min="9112" max="9112" width="6.875" bestFit="1" customWidth="1"/>
    <col min="9113" max="9113" width="10.25" bestFit="1" customWidth="1"/>
    <col min="9114" max="9116" width="6.875" bestFit="1" customWidth="1"/>
    <col min="9117" max="9117" width="10.25" bestFit="1" customWidth="1"/>
    <col min="9118" max="9118" width="17.875" bestFit="1" customWidth="1"/>
    <col min="9119" max="9119" width="6.875" bestFit="1" customWidth="1"/>
    <col min="9120" max="9120" width="10.25" bestFit="1" customWidth="1"/>
    <col min="9121" max="9123" width="6.875" bestFit="1" customWidth="1"/>
    <col min="9124" max="9124" width="10.25" bestFit="1" customWidth="1"/>
    <col min="9125" max="9125" width="17.875" bestFit="1" customWidth="1"/>
    <col min="9126" max="9126" width="6.875" bestFit="1" customWidth="1"/>
    <col min="9127" max="9127" width="10.25" bestFit="1" customWidth="1"/>
    <col min="9128" max="9130" width="6.875" bestFit="1" customWidth="1"/>
    <col min="9131" max="9131" width="10.25" bestFit="1" customWidth="1"/>
    <col min="9132" max="9132" width="17.875" bestFit="1" customWidth="1"/>
    <col min="9133" max="9133" width="6.875" bestFit="1" customWidth="1"/>
    <col min="9134" max="9134" width="10.25" bestFit="1" customWidth="1"/>
    <col min="9135" max="9137" width="6.875" bestFit="1" customWidth="1"/>
    <col min="9138" max="9138" width="10.25" bestFit="1" customWidth="1"/>
    <col min="9139" max="9139" width="17.875" bestFit="1" customWidth="1"/>
    <col min="9140" max="9140" width="6.875" bestFit="1" customWidth="1"/>
    <col min="9141" max="9141" width="10.25" bestFit="1" customWidth="1"/>
    <col min="9142" max="9144" width="6.875" bestFit="1" customWidth="1"/>
    <col min="9145" max="9145" width="10.25" bestFit="1" customWidth="1"/>
    <col min="9146" max="9146" width="17.875" bestFit="1" customWidth="1"/>
    <col min="9147" max="9147" width="6.875" bestFit="1" customWidth="1"/>
    <col min="9148" max="9148" width="10.25" bestFit="1" customWidth="1"/>
    <col min="9149" max="9151" width="6.875" bestFit="1" customWidth="1"/>
    <col min="9152" max="9152" width="10.25" bestFit="1" customWidth="1"/>
    <col min="9153" max="9153" width="17.875" bestFit="1" customWidth="1"/>
    <col min="9154" max="9154" width="6.875" bestFit="1" customWidth="1"/>
    <col min="9155" max="9155" width="10.25" bestFit="1" customWidth="1"/>
    <col min="9156" max="9158" width="6.875" bestFit="1" customWidth="1"/>
    <col min="9159" max="9159" width="10.25" bestFit="1" customWidth="1"/>
    <col min="9160" max="9161" width="2.5" bestFit="1" customWidth="1"/>
    <col min="9162" max="9162" width="3.5" bestFit="1" customWidth="1"/>
    <col min="9163" max="9164" width="5.875" bestFit="1" customWidth="1"/>
    <col min="9165" max="9165" width="17.875" bestFit="1" customWidth="1"/>
    <col min="9166" max="9166" width="6.875" bestFit="1" customWidth="1"/>
    <col min="9167" max="9167" width="10.25" bestFit="1" customWidth="1"/>
    <col min="9168" max="9170" width="6.875" bestFit="1" customWidth="1"/>
    <col min="9171" max="9171" width="10.25" bestFit="1" customWidth="1"/>
    <col min="9172" max="9174" width="2.5" bestFit="1" customWidth="1"/>
    <col min="9175" max="9175" width="3.5" bestFit="1" customWidth="1"/>
    <col min="9176" max="9177" width="5.875" bestFit="1" customWidth="1"/>
    <col min="9178" max="9178" width="17.875" bestFit="1" customWidth="1"/>
    <col min="9179" max="9179" width="6.875" bestFit="1" customWidth="1"/>
    <col min="9180" max="9180" width="10.25" bestFit="1" customWidth="1"/>
    <col min="9181" max="9183" width="6.875" bestFit="1" customWidth="1"/>
    <col min="9184" max="9184" width="10.25" bestFit="1" customWidth="1"/>
    <col min="9185" max="9187" width="2.5" bestFit="1" customWidth="1"/>
    <col min="9188" max="9188" width="3.5" bestFit="1" customWidth="1"/>
    <col min="9189" max="9190" width="5.875" bestFit="1" customWidth="1"/>
    <col min="9191" max="9191" width="17.875" bestFit="1" customWidth="1"/>
    <col min="9192" max="9192" width="6.875" bestFit="1" customWidth="1"/>
    <col min="9193" max="9193" width="10.25" bestFit="1" customWidth="1"/>
    <col min="9194" max="9196" width="6.875" bestFit="1" customWidth="1"/>
    <col min="9197" max="9197" width="10.25" bestFit="1" customWidth="1"/>
    <col min="9198" max="9200" width="2.5" bestFit="1" customWidth="1"/>
    <col min="9201" max="9201" width="3.5" bestFit="1" customWidth="1"/>
    <col min="9202" max="9203" width="5.875" bestFit="1" customWidth="1"/>
    <col min="9204" max="9204" width="17.875" bestFit="1" customWidth="1"/>
    <col min="9205" max="9205" width="6.875" bestFit="1" customWidth="1"/>
    <col min="9206" max="9206" width="10.25" bestFit="1" customWidth="1"/>
    <col min="9207" max="9209" width="6.875" bestFit="1" customWidth="1"/>
    <col min="9210" max="9210" width="10.25" bestFit="1" customWidth="1"/>
    <col min="9211" max="9213" width="2.5" bestFit="1" customWidth="1"/>
    <col min="9214" max="9214" width="3.5" bestFit="1" customWidth="1"/>
    <col min="9215" max="9216" width="5.875" bestFit="1" customWidth="1"/>
    <col min="9217" max="9217" width="17.875" bestFit="1" customWidth="1"/>
    <col min="9218" max="9218" width="6.875" bestFit="1" customWidth="1"/>
    <col min="9219" max="9219" width="10.25" bestFit="1" customWidth="1"/>
    <col min="9220" max="9222" width="6.875" bestFit="1" customWidth="1"/>
    <col min="9223" max="9223" width="10.25" bestFit="1" customWidth="1"/>
    <col min="9224" max="9226" width="2.5" bestFit="1" customWidth="1"/>
    <col min="9227" max="9227" width="3.5" bestFit="1" customWidth="1"/>
    <col min="9228" max="9229" width="5.875" bestFit="1" customWidth="1"/>
    <col min="9230" max="9230" width="17.875" bestFit="1" customWidth="1"/>
    <col min="9231" max="9231" width="6.875" bestFit="1" customWidth="1"/>
    <col min="9232" max="9232" width="10.25" bestFit="1" customWidth="1"/>
    <col min="9233" max="9235" width="6.875" bestFit="1" customWidth="1"/>
    <col min="9236" max="9236" width="10.25" bestFit="1" customWidth="1"/>
    <col min="9237" max="9239" width="2.5" bestFit="1" customWidth="1"/>
    <col min="9240" max="9240" width="3.5" bestFit="1" customWidth="1"/>
    <col min="9241" max="9242" width="5.875" bestFit="1" customWidth="1"/>
    <col min="9243" max="9243" width="17.875" bestFit="1" customWidth="1"/>
    <col min="9244" max="9244" width="6.875" bestFit="1" customWidth="1"/>
    <col min="9245" max="9245" width="10.25" bestFit="1" customWidth="1"/>
    <col min="9246" max="9248" width="6.875" bestFit="1" customWidth="1"/>
    <col min="9249" max="9249" width="10.25" bestFit="1" customWidth="1"/>
    <col min="9250" max="9252" width="2.5" bestFit="1" customWidth="1"/>
    <col min="9253" max="9253" width="3.5" bestFit="1" customWidth="1"/>
    <col min="9254" max="9255" width="5.875" bestFit="1" customWidth="1"/>
    <col min="9256" max="9256" width="17.875" bestFit="1" customWidth="1"/>
    <col min="9257" max="9257" width="6.875" bestFit="1" customWidth="1"/>
    <col min="9258" max="9258" width="10.25" bestFit="1" customWidth="1"/>
    <col min="9259" max="9261" width="6.875" bestFit="1" customWidth="1"/>
    <col min="9262" max="9262" width="10.25" bestFit="1" customWidth="1"/>
    <col min="9263" max="9265" width="2.5" bestFit="1" customWidth="1"/>
    <col min="9266" max="9266" width="3.5" bestFit="1" customWidth="1"/>
    <col min="9267" max="9268" width="5.875" bestFit="1" customWidth="1"/>
    <col min="9269" max="9269" width="17.875" bestFit="1" customWidth="1"/>
    <col min="9270" max="9270" width="6.875" bestFit="1" customWidth="1"/>
    <col min="9271" max="9271" width="10.25" bestFit="1" customWidth="1"/>
    <col min="9272" max="9274" width="6.875" bestFit="1" customWidth="1"/>
    <col min="9275" max="9275" width="10.25" bestFit="1" customWidth="1"/>
    <col min="9276" max="9278" width="2.5" bestFit="1" customWidth="1"/>
    <col min="9279" max="9279" width="3.5" bestFit="1" customWidth="1"/>
    <col min="9280" max="9281" width="5.875" bestFit="1" customWidth="1"/>
    <col min="9282" max="9282" width="17.875" bestFit="1" customWidth="1"/>
    <col min="9283" max="9283" width="6.875" bestFit="1" customWidth="1"/>
    <col min="9284" max="9284" width="10.25" bestFit="1" customWidth="1"/>
    <col min="9285" max="9287" width="6.875" bestFit="1" customWidth="1"/>
    <col min="9288" max="9288" width="10.25" bestFit="1" customWidth="1"/>
    <col min="9289" max="9290" width="2.5" bestFit="1" customWidth="1"/>
    <col min="9291" max="9291" width="3.5" bestFit="1" customWidth="1"/>
    <col min="9292" max="9293" width="5.875" bestFit="1" customWidth="1"/>
    <col min="9294" max="9294" width="17.875" bestFit="1" customWidth="1"/>
    <col min="9295" max="9295" width="6.875" bestFit="1" customWidth="1"/>
    <col min="9296" max="9296" width="10.25" bestFit="1" customWidth="1"/>
    <col min="9297" max="9299" width="6.875" bestFit="1" customWidth="1"/>
    <col min="9300" max="9300" width="10.25" bestFit="1" customWidth="1"/>
    <col min="9301" max="9303" width="2.5" bestFit="1" customWidth="1"/>
    <col min="9304" max="9304" width="3.5" bestFit="1" customWidth="1"/>
    <col min="9305" max="9306" width="5.875" bestFit="1" customWidth="1"/>
    <col min="9307" max="9307" width="17.875" bestFit="1" customWidth="1"/>
    <col min="9308" max="9308" width="6.875" bestFit="1" customWidth="1"/>
    <col min="9309" max="9309" width="10.25" bestFit="1" customWidth="1"/>
    <col min="9310" max="9312" width="6.875" bestFit="1" customWidth="1"/>
    <col min="9313" max="9313" width="10.25" bestFit="1" customWidth="1"/>
    <col min="9314" max="9316" width="2.5" bestFit="1" customWidth="1"/>
    <col min="9317" max="9317" width="3.5" bestFit="1" customWidth="1"/>
    <col min="9318" max="9319" width="5.875" bestFit="1" customWidth="1"/>
    <col min="9320" max="9320" width="17.875" bestFit="1" customWidth="1"/>
    <col min="9321" max="9321" width="6.875" bestFit="1" customWidth="1"/>
    <col min="9322" max="9322" width="10.25" bestFit="1" customWidth="1"/>
    <col min="9323" max="9325" width="6.875" bestFit="1" customWidth="1"/>
    <col min="9326" max="9326" width="10.25" bestFit="1" customWidth="1"/>
    <col min="9327" max="9329" width="2.5" bestFit="1" customWidth="1"/>
    <col min="9330" max="9330" width="3.5" bestFit="1" customWidth="1"/>
    <col min="9331" max="9332" width="5.875" bestFit="1" customWidth="1"/>
    <col min="9333" max="9333" width="17.875" bestFit="1" customWidth="1"/>
    <col min="9334" max="9334" width="6.875" bestFit="1" customWidth="1"/>
    <col min="9335" max="9335" width="10.25" bestFit="1" customWidth="1"/>
    <col min="9336" max="9338" width="6.875" bestFit="1" customWidth="1"/>
    <col min="9339" max="9339" width="10.25" bestFit="1" customWidth="1"/>
    <col min="9340" max="9342" width="2.5" bestFit="1" customWidth="1"/>
    <col min="9343" max="9343" width="3.5" bestFit="1" customWidth="1"/>
    <col min="9344" max="9345" width="5.875" bestFit="1" customWidth="1"/>
    <col min="9346" max="9346" width="17.875" bestFit="1" customWidth="1"/>
    <col min="9347" max="9347" width="6.875" bestFit="1" customWidth="1"/>
    <col min="9348" max="9348" width="10.25" bestFit="1" customWidth="1"/>
    <col min="9349" max="9351" width="6.875" bestFit="1" customWidth="1"/>
    <col min="9352" max="9352" width="10.25" bestFit="1" customWidth="1"/>
    <col min="9353" max="9355" width="2.5" bestFit="1" customWidth="1"/>
    <col min="9356" max="9356" width="3.5" bestFit="1" customWidth="1"/>
    <col min="9357" max="9358" width="5.875" bestFit="1" customWidth="1"/>
    <col min="9359" max="9359" width="17.875" bestFit="1" customWidth="1"/>
    <col min="9360" max="9360" width="6.875" bestFit="1" customWidth="1"/>
    <col min="9361" max="9361" width="10.25" bestFit="1" customWidth="1"/>
    <col min="9362" max="9364" width="6.875" bestFit="1" customWidth="1"/>
    <col min="9365" max="9365" width="10.25" bestFit="1" customWidth="1"/>
    <col min="9366" max="9368" width="2.5" bestFit="1" customWidth="1"/>
    <col min="9369" max="9369" width="3.5" bestFit="1" customWidth="1"/>
    <col min="9370" max="9371" width="5.875" bestFit="1" customWidth="1"/>
    <col min="9372" max="9372" width="17.875" bestFit="1" customWidth="1"/>
    <col min="9373" max="9373" width="6.875" bestFit="1" customWidth="1"/>
    <col min="9374" max="9374" width="10.25" bestFit="1" customWidth="1"/>
    <col min="9375" max="9377" width="6.875" bestFit="1" customWidth="1"/>
    <col min="9378" max="9378" width="10.25" bestFit="1" customWidth="1"/>
    <col min="9379" max="9381" width="2.5" bestFit="1" customWidth="1"/>
    <col min="9382" max="9382" width="3.5" bestFit="1" customWidth="1"/>
    <col min="9383" max="9384" width="5.875" bestFit="1" customWidth="1"/>
    <col min="9385" max="9385" width="17.875" bestFit="1" customWidth="1"/>
    <col min="9386" max="9386" width="6.875" bestFit="1" customWidth="1"/>
    <col min="9387" max="9387" width="10.25" bestFit="1" customWidth="1"/>
    <col min="9388" max="9390" width="6.875" bestFit="1" customWidth="1"/>
    <col min="9391" max="9391" width="10.25" bestFit="1" customWidth="1"/>
    <col min="9392" max="9394" width="2.5" bestFit="1" customWidth="1"/>
    <col min="9395" max="9395" width="3.5" bestFit="1" customWidth="1"/>
    <col min="9396" max="9397" width="5.875" bestFit="1" customWidth="1"/>
    <col min="9398" max="9398" width="17.875" bestFit="1" customWidth="1"/>
    <col min="9399" max="9399" width="6.875" bestFit="1" customWidth="1"/>
    <col min="9400" max="9400" width="10.25" bestFit="1" customWidth="1"/>
    <col min="9401" max="9403" width="6.875" bestFit="1" customWidth="1"/>
    <col min="9404" max="9404" width="10.25" bestFit="1" customWidth="1"/>
    <col min="9405" max="9407" width="2.5" bestFit="1" customWidth="1"/>
    <col min="9408" max="9408" width="3.5" bestFit="1" customWidth="1"/>
    <col min="9409" max="9410" width="5.875" bestFit="1" customWidth="1"/>
    <col min="9411" max="9411" width="17.875" bestFit="1" customWidth="1"/>
    <col min="9412" max="9412" width="6.875" bestFit="1" customWidth="1"/>
    <col min="9413" max="9413" width="10.25" bestFit="1" customWidth="1"/>
    <col min="9414" max="9416" width="6.875" bestFit="1" customWidth="1"/>
    <col min="9417" max="9417" width="10.25" bestFit="1" customWidth="1"/>
    <col min="9418" max="9419" width="2.5" bestFit="1" customWidth="1"/>
    <col min="9420" max="9420" width="3.5" bestFit="1" customWidth="1"/>
    <col min="9421" max="9422" width="5.875" bestFit="1" customWidth="1"/>
    <col min="9423" max="9423" width="17.875" bestFit="1" customWidth="1"/>
    <col min="9424" max="9424" width="6.875" bestFit="1" customWidth="1"/>
    <col min="9425" max="9425" width="10.25" bestFit="1" customWidth="1"/>
    <col min="9426" max="9428" width="6.875" bestFit="1" customWidth="1"/>
    <col min="9429" max="9429" width="10.25" bestFit="1" customWidth="1"/>
    <col min="9430" max="9432" width="2.5" bestFit="1" customWidth="1"/>
    <col min="9433" max="9433" width="3.5" bestFit="1" customWidth="1"/>
    <col min="9434" max="9435" width="5.875" bestFit="1" customWidth="1"/>
    <col min="9436" max="9436" width="17.875" bestFit="1" customWidth="1"/>
    <col min="9437" max="9437" width="6.875" bestFit="1" customWidth="1"/>
    <col min="9438" max="9438" width="10.25" bestFit="1" customWidth="1"/>
    <col min="9439" max="9441" width="6.875" bestFit="1" customWidth="1"/>
    <col min="9442" max="9442" width="10.25" bestFit="1" customWidth="1"/>
    <col min="9443" max="9445" width="2.5" bestFit="1" customWidth="1"/>
    <col min="9446" max="9446" width="3.5" bestFit="1" customWidth="1"/>
    <col min="9447" max="9448" width="5.875" bestFit="1" customWidth="1"/>
    <col min="9449" max="9449" width="17.875" bestFit="1" customWidth="1"/>
    <col min="9450" max="9450" width="6.875" bestFit="1" customWidth="1"/>
    <col min="9451" max="9451" width="10.25" bestFit="1" customWidth="1"/>
    <col min="9452" max="9454" width="6.875" bestFit="1" customWidth="1"/>
    <col min="9455" max="9455" width="10.25" bestFit="1" customWidth="1"/>
    <col min="9456" max="9458" width="2.5" bestFit="1" customWidth="1"/>
    <col min="9459" max="9459" width="3.5" bestFit="1" customWidth="1"/>
    <col min="9460" max="9461" width="5.875" bestFit="1" customWidth="1"/>
    <col min="9462" max="9462" width="17.875" bestFit="1" customWidth="1"/>
    <col min="9463" max="9463" width="6.875" bestFit="1" customWidth="1"/>
    <col min="9464" max="9464" width="10.25" bestFit="1" customWidth="1"/>
    <col min="9465" max="9467" width="6.875" bestFit="1" customWidth="1"/>
    <col min="9468" max="9468" width="10.25" bestFit="1" customWidth="1"/>
    <col min="9469" max="9471" width="2.5" bestFit="1" customWidth="1"/>
    <col min="9472" max="9472" width="3.5" bestFit="1" customWidth="1"/>
    <col min="9473" max="9474" width="5.875" bestFit="1" customWidth="1"/>
    <col min="9475" max="9475" width="17.875" bestFit="1" customWidth="1"/>
    <col min="9476" max="9476" width="6.875" bestFit="1" customWidth="1"/>
    <col min="9477" max="9477" width="10.25" bestFit="1" customWidth="1"/>
    <col min="9478" max="9480" width="6.875" bestFit="1" customWidth="1"/>
    <col min="9481" max="9481" width="10.25" bestFit="1" customWidth="1"/>
    <col min="9482" max="9484" width="2.5" bestFit="1" customWidth="1"/>
    <col min="9485" max="9485" width="3.5" bestFit="1" customWidth="1"/>
    <col min="9486" max="9487" width="5.875" bestFit="1" customWidth="1"/>
    <col min="9488" max="9488" width="17.875" bestFit="1" customWidth="1"/>
    <col min="9489" max="9489" width="6.875" bestFit="1" customWidth="1"/>
    <col min="9490" max="9490" width="10.25" bestFit="1" customWidth="1"/>
    <col min="9491" max="9493" width="6.875" bestFit="1" customWidth="1"/>
    <col min="9494" max="9494" width="10.25" bestFit="1" customWidth="1"/>
    <col min="9495" max="9497" width="2.5" bestFit="1" customWidth="1"/>
    <col min="9498" max="9498" width="3.5" bestFit="1" customWidth="1"/>
    <col min="9499" max="9500" width="5.875" bestFit="1" customWidth="1"/>
    <col min="9501" max="9501" width="17.875" bestFit="1" customWidth="1"/>
    <col min="9502" max="9502" width="6.875" bestFit="1" customWidth="1"/>
    <col min="9503" max="9503" width="10.25" bestFit="1" customWidth="1"/>
    <col min="9504" max="9506" width="6.875" bestFit="1" customWidth="1"/>
    <col min="9507" max="9507" width="10.25" bestFit="1" customWidth="1"/>
    <col min="9508" max="9510" width="2.5" bestFit="1" customWidth="1"/>
    <col min="9511" max="9511" width="3.5" bestFit="1" customWidth="1"/>
    <col min="9512" max="9513" width="5.875" bestFit="1" customWidth="1"/>
    <col min="9514" max="9514" width="17.875" bestFit="1" customWidth="1"/>
    <col min="9515" max="9515" width="6.875" bestFit="1" customWidth="1"/>
    <col min="9516" max="9516" width="10.25" bestFit="1" customWidth="1"/>
    <col min="9517" max="9519" width="6.875" bestFit="1" customWidth="1"/>
    <col min="9520" max="9520" width="10.25" bestFit="1" customWidth="1"/>
    <col min="9521" max="9523" width="2.5" bestFit="1" customWidth="1"/>
    <col min="9524" max="9524" width="3.5" bestFit="1" customWidth="1"/>
    <col min="9525" max="9526" width="5.875" bestFit="1" customWidth="1"/>
    <col min="9527" max="9527" width="17.875" bestFit="1" customWidth="1"/>
    <col min="9528" max="9528" width="6.875" bestFit="1" customWidth="1"/>
    <col min="9529" max="9529" width="10.25" bestFit="1" customWidth="1"/>
    <col min="9530" max="9532" width="6.875" bestFit="1" customWidth="1"/>
    <col min="9533" max="9533" width="10.25" bestFit="1" customWidth="1"/>
    <col min="9534" max="9536" width="2.5" bestFit="1" customWidth="1"/>
    <col min="9537" max="9537" width="3.5" bestFit="1" customWidth="1"/>
    <col min="9538" max="9539" width="5.875" bestFit="1" customWidth="1"/>
    <col min="9540" max="9540" width="17.875" bestFit="1" customWidth="1"/>
    <col min="9541" max="9541" width="6.875" bestFit="1" customWidth="1"/>
    <col min="9542" max="9542" width="10.25" bestFit="1" customWidth="1"/>
    <col min="9543" max="9545" width="6.875" bestFit="1" customWidth="1"/>
    <col min="9546" max="9546" width="10.25" bestFit="1" customWidth="1"/>
    <col min="9547" max="9548" width="2.5" bestFit="1" customWidth="1"/>
    <col min="9549" max="9549" width="3.5" bestFit="1" customWidth="1"/>
    <col min="9550" max="9551" width="5.875" bestFit="1" customWidth="1"/>
    <col min="9552" max="9552" width="17.875" bestFit="1" customWidth="1"/>
    <col min="9553" max="9553" width="6.875" bestFit="1" customWidth="1"/>
    <col min="9554" max="9554" width="10.25" bestFit="1" customWidth="1"/>
    <col min="9555" max="9557" width="6.875" bestFit="1" customWidth="1"/>
    <col min="9558" max="9558" width="10.25" bestFit="1" customWidth="1"/>
    <col min="9559" max="9561" width="2.5" bestFit="1" customWidth="1"/>
    <col min="9562" max="9562" width="3.5" bestFit="1" customWidth="1"/>
    <col min="9563" max="9564" width="5.875" bestFit="1" customWidth="1"/>
    <col min="9565" max="9565" width="17.875" bestFit="1" customWidth="1"/>
    <col min="9566" max="9566" width="6.875" bestFit="1" customWidth="1"/>
    <col min="9567" max="9567" width="10.25" bestFit="1" customWidth="1"/>
    <col min="9568" max="9570" width="6.875" bestFit="1" customWidth="1"/>
    <col min="9571" max="9571" width="10.25" bestFit="1" customWidth="1"/>
    <col min="9572" max="9574" width="2.5" bestFit="1" customWidth="1"/>
    <col min="9575" max="9575" width="3.5" bestFit="1" customWidth="1"/>
    <col min="9576" max="9577" width="5.875" bestFit="1" customWidth="1"/>
    <col min="9578" max="9578" width="17.875" bestFit="1" customWidth="1"/>
    <col min="9579" max="9579" width="6.875" bestFit="1" customWidth="1"/>
    <col min="9580" max="9580" width="10.25" bestFit="1" customWidth="1"/>
    <col min="9581" max="9583" width="6.875" bestFit="1" customWidth="1"/>
    <col min="9584" max="9584" width="10.25" bestFit="1" customWidth="1"/>
    <col min="9585" max="9587" width="2.5" bestFit="1" customWidth="1"/>
    <col min="9588" max="9588" width="3.5" bestFit="1" customWidth="1"/>
    <col min="9589" max="9590" width="5.875" bestFit="1" customWidth="1"/>
    <col min="9591" max="9591" width="17.875" bestFit="1" customWidth="1"/>
    <col min="9592" max="9592" width="6.875" bestFit="1" customWidth="1"/>
    <col min="9593" max="9593" width="10.25" bestFit="1" customWidth="1"/>
    <col min="9594" max="9596" width="6.875" bestFit="1" customWidth="1"/>
    <col min="9597" max="9597" width="10.25" bestFit="1" customWidth="1"/>
    <col min="9598" max="9600" width="2.5" bestFit="1" customWidth="1"/>
    <col min="9601" max="9601" width="3.5" bestFit="1" customWidth="1"/>
    <col min="9602" max="9603" width="5.875" bestFit="1" customWidth="1"/>
    <col min="9604" max="9604" width="17.875" bestFit="1" customWidth="1"/>
    <col min="9605" max="9605" width="6.875" bestFit="1" customWidth="1"/>
    <col min="9606" max="9606" width="10.25" bestFit="1" customWidth="1"/>
    <col min="9607" max="9609" width="6.875" bestFit="1" customWidth="1"/>
    <col min="9610" max="9610" width="10.25" bestFit="1" customWidth="1"/>
    <col min="9611" max="9613" width="2.5" bestFit="1" customWidth="1"/>
    <col min="9614" max="9614" width="3.5" bestFit="1" customWidth="1"/>
    <col min="9615" max="9616" width="5.875" bestFit="1" customWidth="1"/>
    <col min="9617" max="9617" width="17.875" bestFit="1" customWidth="1"/>
    <col min="9618" max="9618" width="6.875" bestFit="1" customWidth="1"/>
    <col min="9619" max="9619" width="10.25" bestFit="1" customWidth="1"/>
    <col min="9620" max="9622" width="6.875" bestFit="1" customWidth="1"/>
    <col min="9623" max="9623" width="10.25" bestFit="1" customWidth="1"/>
    <col min="9624" max="9626" width="2.5" bestFit="1" customWidth="1"/>
    <col min="9627" max="9627" width="3.5" bestFit="1" customWidth="1"/>
    <col min="9628" max="9629" width="5.875" bestFit="1" customWidth="1"/>
    <col min="9630" max="9630" width="17.875" bestFit="1" customWidth="1"/>
    <col min="9631" max="9631" width="6.875" bestFit="1" customWidth="1"/>
    <col min="9632" max="9632" width="10.25" bestFit="1" customWidth="1"/>
    <col min="9633" max="9635" width="6.875" bestFit="1" customWidth="1"/>
    <col min="9636" max="9636" width="10.25" bestFit="1" customWidth="1"/>
    <col min="9637" max="9639" width="2.5" bestFit="1" customWidth="1"/>
    <col min="9640" max="9640" width="3.5" bestFit="1" customWidth="1"/>
    <col min="9641" max="9642" width="5.875" bestFit="1" customWidth="1"/>
    <col min="9643" max="9643" width="17.875" bestFit="1" customWidth="1"/>
    <col min="9644" max="9644" width="6.875" bestFit="1" customWidth="1"/>
    <col min="9645" max="9645" width="10.25" bestFit="1" customWidth="1"/>
    <col min="9646" max="9648" width="6.875" bestFit="1" customWidth="1"/>
    <col min="9649" max="9649" width="10.25" bestFit="1" customWidth="1"/>
    <col min="9650" max="9652" width="2.5" bestFit="1" customWidth="1"/>
    <col min="9653" max="9653" width="3.5" bestFit="1" customWidth="1"/>
    <col min="9654" max="9655" width="5.875" bestFit="1" customWidth="1"/>
    <col min="9656" max="9656" width="17.875" bestFit="1" customWidth="1"/>
    <col min="9657" max="9657" width="6.875" bestFit="1" customWidth="1"/>
    <col min="9658" max="9658" width="10.25" bestFit="1" customWidth="1"/>
    <col min="9659" max="9661" width="6.875" bestFit="1" customWidth="1"/>
    <col min="9662" max="9662" width="10.25" bestFit="1" customWidth="1"/>
    <col min="9663" max="9665" width="2.5" bestFit="1" customWidth="1"/>
    <col min="9666" max="9666" width="3.5" bestFit="1" customWidth="1"/>
    <col min="9667" max="9668" width="5.875" bestFit="1" customWidth="1"/>
    <col min="9669" max="9669" width="17.875" bestFit="1" customWidth="1"/>
    <col min="9670" max="9670" width="6.875" bestFit="1" customWidth="1"/>
    <col min="9671" max="9671" width="10.25" bestFit="1" customWidth="1"/>
    <col min="9672" max="9674" width="6.875" bestFit="1" customWidth="1"/>
    <col min="9675" max="9675" width="10.25" bestFit="1" customWidth="1"/>
    <col min="9676" max="9677" width="2.5" bestFit="1" customWidth="1"/>
    <col min="9678" max="9678" width="3.5" bestFit="1" customWidth="1"/>
    <col min="9679" max="9680" width="5.875" bestFit="1" customWidth="1"/>
    <col min="9681" max="9681" width="17.875" bestFit="1" customWidth="1"/>
    <col min="9682" max="9682" width="6.875" bestFit="1" customWidth="1"/>
    <col min="9683" max="9683" width="10.25" bestFit="1" customWidth="1"/>
    <col min="9684" max="9686" width="6.875" bestFit="1" customWidth="1"/>
    <col min="9687" max="9687" width="10.25" bestFit="1" customWidth="1"/>
    <col min="9688" max="9690" width="2.5" bestFit="1" customWidth="1"/>
    <col min="9691" max="9691" width="3.5" bestFit="1" customWidth="1"/>
    <col min="9692" max="9693" width="5.875" bestFit="1" customWidth="1"/>
    <col min="9694" max="9694" width="17.875" bestFit="1" customWidth="1"/>
    <col min="9695" max="9695" width="6.875" bestFit="1" customWidth="1"/>
    <col min="9696" max="9696" width="10.25" bestFit="1" customWidth="1"/>
    <col min="9697" max="9699" width="6.875" bestFit="1" customWidth="1"/>
    <col min="9700" max="9700" width="10.25" bestFit="1" customWidth="1"/>
    <col min="9701" max="9703" width="2.5" bestFit="1" customWidth="1"/>
    <col min="9704" max="9704" width="3.5" bestFit="1" customWidth="1"/>
    <col min="9705" max="9706" width="5.875" bestFit="1" customWidth="1"/>
    <col min="9707" max="9707" width="17.875" bestFit="1" customWidth="1"/>
    <col min="9708" max="9708" width="6.875" bestFit="1" customWidth="1"/>
    <col min="9709" max="9709" width="10.25" bestFit="1" customWidth="1"/>
    <col min="9710" max="9712" width="6.875" bestFit="1" customWidth="1"/>
    <col min="9713" max="9713" width="10.25" bestFit="1" customWidth="1"/>
    <col min="9714" max="9716" width="2.5" bestFit="1" customWidth="1"/>
    <col min="9717" max="9717" width="3.5" bestFit="1" customWidth="1"/>
    <col min="9718" max="9719" width="5.875" bestFit="1" customWidth="1"/>
    <col min="9720" max="9720" width="17.875" bestFit="1" customWidth="1"/>
    <col min="9721" max="9721" width="6.875" bestFit="1" customWidth="1"/>
    <col min="9722" max="9722" width="10.25" bestFit="1" customWidth="1"/>
    <col min="9723" max="9725" width="6.875" bestFit="1" customWidth="1"/>
    <col min="9726" max="9726" width="10.25" bestFit="1" customWidth="1"/>
    <col min="9727" max="9729" width="2.5" bestFit="1" customWidth="1"/>
    <col min="9730" max="9730" width="3.5" bestFit="1" customWidth="1"/>
    <col min="9731" max="9732" width="5.875" bestFit="1" customWidth="1"/>
    <col min="9733" max="9733" width="17.875" bestFit="1" customWidth="1"/>
    <col min="9734" max="9734" width="6.875" bestFit="1" customWidth="1"/>
    <col min="9735" max="9735" width="10.25" bestFit="1" customWidth="1"/>
    <col min="9736" max="9738" width="6.875" bestFit="1" customWidth="1"/>
    <col min="9739" max="9739" width="10.25" bestFit="1" customWidth="1"/>
    <col min="9740" max="9742" width="2.5" bestFit="1" customWidth="1"/>
    <col min="9743" max="9743" width="3.5" bestFit="1" customWidth="1"/>
    <col min="9744" max="9745" width="5.875" bestFit="1" customWidth="1"/>
    <col min="9746" max="9746" width="17.875" bestFit="1" customWidth="1"/>
    <col min="9747" max="9747" width="6.875" bestFit="1" customWidth="1"/>
    <col min="9748" max="9748" width="10.25" bestFit="1" customWidth="1"/>
    <col min="9749" max="9751" width="6.875" bestFit="1" customWidth="1"/>
    <col min="9752" max="9752" width="10.25" bestFit="1" customWidth="1"/>
    <col min="9753" max="9755" width="2.5" bestFit="1" customWidth="1"/>
    <col min="9756" max="9756" width="3.5" bestFit="1" customWidth="1"/>
    <col min="9757" max="9758" width="5.875" bestFit="1" customWidth="1"/>
    <col min="9759" max="9759" width="17.875" bestFit="1" customWidth="1"/>
    <col min="9760" max="9760" width="6.875" bestFit="1" customWidth="1"/>
    <col min="9761" max="9761" width="10.25" bestFit="1" customWidth="1"/>
    <col min="9762" max="9764" width="6.875" bestFit="1" customWidth="1"/>
    <col min="9765" max="9765" width="10.25" bestFit="1" customWidth="1"/>
    <col min="9766" max="9768" width="2.5" bestFit="1" customWidth="1"/>
    <col min="9769" max="9769" width="3.5" bestFit="1" customWidth="1"/>
    <col min="9770" max="9771" width="5.875" bestFit="1" customWidth="1"/>
    <col min="9772" max="9772" width="17.875" bestFit="1" customWidth="1"/>
    <col min="9773" max="9773" width="6.875" bestFit="1" customWidth="1"/>
    <col min="9774" max="9774" width="10.25" bestFit="1" customWidth="1"/>
    <col min="9775" max="9777" width="6.875" bestFit="1" customWidth="1"/>
    <col min="9778" max="9778" width="10.25" bestFit="1" customWidth="1"/>
    <col min="9779" max="9781" width="2.5" bestFit="1" customWidth="1"/>
    <col min="9782" max="9782" width="3.5" bestFit="1" customWidth="1"/>
    <col min="9783" max="9784" width="5.875" bestFit="1" customWidth="1"/>
    <col min="9785" max="9785" width="17.875" bestFit="1" customWidth="1"/>
    <col min="9786" max="9786" width="6.875" bestFit="1" customWidth="1"/>
    <col min="9787" max="9787" width="10.25" bestFit="1" customWidth="1"/>
    <col min="9788" max="9790" width="6.875" bestFit="1" customWidth="1"/>
    <col min="9791" max="9791" width="10.25" bestFit="1" customWidth="1"/>
    <col min="9792" max="9794" width="2.5" bestFit="1" customWidth="1"/>
    <col min="9795" max="9795" width="3.5" bestFit="1" customWidth="1"/>
    <col min="9796" max="9797" width="5.875" bestFit="1" customWidth="1"/>
    <col min="9798" max="9798" width="10.25" bestFit="1" customWidth="1"/>
    <col min="9799" max="9799" width="17.875" bestFit="1" customWidth="1"/>
    <col min="9800" max="9800" width="6.875" bestFit="1" customWidth="1"/>
    <col min="9801" max="9801" width="10.25" bestFit="1" customWidth="1"/>
    <col min="9802" max="9804" width="6.875" bestFit="1" customWidth="1"/>
    <col min="9805" max="9805" width="10.25" bestFit="1" customWidth="1"/>
    <col min="9806" max="9806" width="17.875" bestFit="1" customWidth="1"/>
    <col min="9807" max="9807" width="6.875" bestFit="1" customWidth="1"/>
    <col min="9808" max="9808" width="10.25" bestFit="1" customWidth="1"/>
    <col min="9809" max="9811" width="6.875" bestFit="1" customWidth="1"/>
    <col min="9812" max="9812" width="10.25" bestFit="1" customWidth="1"/>
    <col min="9813" max="9813" width="17.875" bestFit="1" customWidth="1"/>
    <col min="9814" max="9814" width="6.875" bestFit="1" customWidth="1"/>
    <col min="9815" max="9815" width="10.25" bestFit="1" customWidth="1"/>
    <col min="9816" max="9818" width="6.875" bestFit="1" customWidth="1"/>
    <col min="9819" max="9819" width="10.25" bestFit="1" customWidth="1"/>
    <col min="9820" max="9820" width="17.875" bestFit="1" customWidth="1"/>
    <col min="9821" max="9821" width="6.875" bestFit="1" customWidth="1"/>
    <col min="9822" max="9822" width="10.25" bestFit="1" customWidth="1"/>
    <col min="9823" max="9825" width="6.875" bestFit="1" customWidth="1"/>
    <col min="9826" max="9826" width="10.25" bestFit="1" customWidth="1"/>
    <col min="9827" max="9827" width="17.875" bestFit="1" customWidth="1"/>
    <col min="9828" max="9828" width="6.875" bestFit="1" customWidth="1"/>
    <col min="9829" max="9829" width="10.25" bestFit="1" customWidth="1"/>
    <col min="9830" max="9832" width="6.875" bestFit="1" customWidth="1"/>
    <col min="9833" max="9833" width="10.25" bestFit="1" customWidth="1"/>
    <col min="9834" max="9834" width="17.875" bestFit="1" customWidth="1"/>
    <col min="9835" max="9835" width="6.875" bestFit="1" customWidth="1"/>
    <col min="9836" max="9836" width="10.25" bestFit="1" customWidth="1"/>
    <col min="9837" max="9839" width="6.875" bestFit="1" customWidth="1"/>
    <col min="9840" max="9840" width="10.25" bestFit="1" customWidth="1"/>
    <col min="9841" max="9841" width="17.875" bestFit="1" customWidth="1"/>
    <col min="9842" max="9842" width="6.875" bestFit="1" customWidth="1"/>
    <col min="9843" max="9843" width="10.25" bestFit="1" customWidth="1"/>
    <col min="9844" max="9846" width="6.875" bestFit="1" customWidth="1"/>
    <col min="9847" max="9847" width="10.25" bestFit="1" customWidth="1"/>
    <col min="9848" max="9848" width="17.875" bestFit="1" customWidth="1"/>
    <col min="9849" max="9849" width="6.875" bestFit="1" customWidth="1"/>
    <col min="9850" max="9850" width="10.25" bestFit="1" customWidth="1"/>
    <col min="9851" max="9853" width="6.875" bestFit="1" customWidth="1"/>
    <col min="9854" max="9855" width="10.25" bestFit="1" customWidth="1"/>
    <col min="9856" max="9856" width="17.875" bestFit="1" customWidth="1"/>
    <col min="9857" max="9857" width="6.875" bestFit="1" customWidth="1"/>
    <col min="9858" max="9858" width="10.25" bestFit="1" customWidth="1"/>
    <col min="9859" max="9861" width="6.875" bestFit="1" customWidth="1"/>
    <col min="9862" max="9862" width="10.25" bestFit="1" customWidth="1"/>
    <col min="9863" max="9863" width="17.875" bestFit="1" customWidth="1"/>
    <col min="9864" max="9864" width="6.875" bestFit="1" customWidth="1"/>
    <col min="9865" max="9865" width="10.25" bestFit="1" customWidth="1"/>
    <col min="9866" max="9868" width="6.875" bestFit="1" customWidth="1"/>
    <col min="9869" max="9869" width="10.25" bestFit="1" customWidth="1"/>
    <col min="9870" max="9870" width="17.875" bestFit="1" customWidth="1"/>
    <col min="9871" max="9871" width="6.875" bestFit="1" customWidth="1"/>
    <col min="9872" max="9872" width="10.25" bestFit="1" customWidth="1"/>
    <col min="9873" max="9875" width="6.875" bestFit="1" customWidth="1"/>
    <col min="9876" max="9876" width="10.25" bestFit="1" customWidth="1"/>
    <col min="9877" max="9877" width="17.875" bestFit="1" customWidth="1"/>
    <col min="9878" max="9878" width="6.875" bestFit="1" customWidth="1"/>
    <col min="9879" max="9879" width="10.25" bestFit="1" customWidth="1"/>
    <col min="9880" max="9882" width="6.875" bestFit="1" customWidth="1"/>
    <col min="9883" max="9883" width="10.25" bestFit="1" customWidth="1"/>
    <col min="9884" max="9884" width="17.875" bestFit="1" customWidth="1"/>
    <col min="9885" max="9885" width="6.875" bestFit="1" customWidth="1"/>
    <col min="9886" max="9886" width="10.25" bestFit="1" customWidth="1"/>
    <col min="9887" max="9889" width="6.875" bestFit="1" customWidth="1"/>
    <col min="9890" max="9890" width="10.25" bestFit="1" customWidth="1"/>
    <col min="9891" max="9891" width="17.875" bestFit="1" customWidth="1"/>
    <col min="9892" max="9892" width="6.875" bestFit="1" customWidth="1"/>
    <col min="9893" max="9893" width="10.25" bestFit="1" customWidth="1"/>
    <col min="9894" max="9896" width="6.875" bestFit="1" customWidth="1"/>
    <col min="9897" max="9897" width="10.25" bestFit="1" customWidth="1"/>
    <col min="9898" max="9898" width="17.875" bestFit="1" customWidth="1"/>
    <col min="9899" max="9899" width="6.875" bestFit="1" customWidth="1"/>
    <col min="9900" max="9900" width="10.25" bestFit="1" customWidth="1"/>
    <col min="9901" max="9903" width="6.875" bestFit="1" customWidth="1"/>
    <col min="9904" max="9904" width="10.25" bestFit="1" customWidth="1"/>
    <col min="9905" max="9905" width="17.875" bestFit="1" customWidth="1"/>
    <col min="9906" max="9906" width="6.875" bestFit="1" customWidth="1"/>
    <col min="9907" max="9907" width="10.25" bestFit="1" customWidth="1"/>
    <col min="9908" max="9910" width="6.875" bestFit="1" customWidth="1"/>
    <col min="9911" max="9912" width="10.25" bestFit="1" customWidth="1"/>
    <col min="9913" max="9913" width="17.875" bestFit="1" customWidth="1"/>
    <col min="9914" max="9914" width="6.875" bestFit="1" customWidth="1"/>
    <col min="9915" max="9915" width="10.25" bestFit="1" customWidth="1"/>
    <col min="9916" max="9918" width="6.875" bestFit="1" customWidth="1"/>
    <col min="9919" max="9919" width="10.25" bestFit="1" customWidth="1"/>
    <col min="9920" max="9920" width="17.875" bestFit="1" customWidth="1"/>
    <col min="9921" max="9921" width="6.875" bestFit="1" customWidth="1"/>
    <col min="9922" max="9922" width="10.25" bestFit="1" customWidth="1"/>
    <col min="9923" max="9925" width="6.875" bestFit="1" customWidth="1"/>
    <col min="9926" max="9926" width="10.25" bestFit="1" customWidth="1"/>
    <col min="9927" max="9927" width="17.875" bestFit="1" customWidth="1"/>
    <col min="9928" max="9928" width="6.875" bestFit="1" customWidth="1"/>
    <col min="9929" max="9929" width="10.25" bestFit="1" customWidth="1"/>
    <col min="9930" max="9932" width="6.875" bestFit="1" customWidth="1"/>
    <col min="9933" max="9933" width="10.25" bestFit="1" customWidth="1"/>
    <col min="9934" max="9934" width="17.875" bestFit="1" customWidth="1"/>
    <col min="9935" max="9935" width="6.875" bestFit="1" customWidth="1"/>
    <col min="9936" max="9936" width="10.25" bestFit="1" customWidth="1"/>
    <col min="9937" max="9939" width="6.875" bestFit="1" customWidth="1"/>
    <col min="9940" max="9940" width="10.25" bestFit="1" customWidth="1"/>
    <col min="9941" max="9941" width="17.875" bestFit="1" customWidth="1"/>
    <col min="9942" max="9942" width="6.875" bestFit="1" customWidth="1"/>
    <col min="9943" max="9943" width="10.25" bestFit="1" customWidth="1"/>
    <col min="9944" max="9946" width="6.875" bestFit="1" customWidth="1"/>
    <col min="9947" max="9947" width="10.25" bestFit="1" customWidth="1"/>
    <col min="9948" max="9948" width="17.875" bestFit="1" customWidth="1"/>
    <col min="9949" max="9949" width="6.875" bestFit="1" customWidth="1"/>
    <col min="9950" max="9950" width="10.25" bestFit="1" customWidth="1"/>
    <col min="9951" max="9953" width="6.875" bestFit="1" customWidth="1"/>
    <col min="9954" max="9954" width="10.25" bestFit="1" customWidth="1"/>
    <col min="9955" max="9955" width="17.875" bestFit="1" customWidth="1"/>
    <col min="9956" max="9956" width="6.875" bestFit="1" customWidth="1"/>
    <col min="9957" max="9957" width="10.25" bestFit="1" customWidth="1"/>
    <col min="9958" max="9960" width="6.875" bestFit="1" customWidth="1"/>
    <col min="9961" max="9961" width="10.25" bestFit="1" customWidth="1"/>
    <col min="9962" max="9962" width="17.875" bestFit="1" customWidth="1"/>
    <col min="9963" max="9963" width="6.875" bestFit="1" customWidth="1"/>
    <col min="9964" max="9964" width="10.25" bestFit="1" customWidth="1"/>
    <col min="9965" max="9967" width="6.875" bestFit="1" customWidth="1"/>
    <col min="9968" max="9969" width="10.25" bestFit="1" customWidth="1"/>
    <col min="9970" max="9970" width="17.875" bestFit="1" customWidth="1"/>
    <col min="9971" max="9971" width="6.875" bestFit="1" customWidth="1"/>
    <col min="9972" max="9972" width="10.25" bestFit="1" customWidth="1"/>
    <col min="9973" max="9975" width="6.875" bestFit="1" customWidth="1"/>
    <col min="9976" max="9976" width="10.25" bestFit="1" customWidth="1"/>
    <col min="9977" max="9977" width="17.875" bestFit="1" customWidth="1"/>
    <col min="9978" max="9978" width="6.875" bestFit="1" customWidth="1"/>
    <col min="9979" max="9979" width="10.25" bestFit="1" customWidth="1"/>
    <col min="9980" max="9982" width="6.875" bestFit="1" customWidth="1"/>
    <col min="9983" max="9983" width="10.25" bestFit="1" customWidth="1"/>
    <col min="9984" max="9984" width="17.875" bestFit="1" customWidth="1"/>
    <col min="9985" max="9985" width="6.875" bestFit="1" customWidth="1"/>
    <col min="9986" max="9986" width="10.25" bestFit="1" customWidth="1"/>
    <col min="9987" max="9989" width="6.875" bestFit="1" customWidth="1"/>
    <col min="9990" max="9990" width="10.25" bestFit="1" customWidth="1"/>
    <col min="9991" max="9991" width="17.875" bestFit="1" customWidth="1"/>
    <col min="9992" max="9992" width="6.875" bestFit="1" customWidth="1"/>
    <col min="9993" max="9993" width="10.25" bestFit="1" customWidth="1"/>
    <col min="9994" max="9996" width="6.875" bestFit="1" customWidth="1"/>
    <col min="9997" max="9997" width="10.25" bestFit="1" customWidth="1"/>
    <col min="9998" max="9998" width="17.875" bestFit="1" customWidth="1"/>
    <col min="9999" max="9999" width="6.875" bestFit="1" customWidth="1"/>
    <col min="10000" max="10000" width="10.25" bestFit="1" customWidth="1"/>
    <col min="10001" max="10003" width="6.875" bestFit="1" customWidth="1"/>
    <col min="10004" max="10004" width="10.25" bestFit="1" customWidth="1"/>
    <col min="10005" max="10005" width="17.875" bestFit="1" customWidth="1"/>
    <col min="10006" max="10006" width="6.875" bestFit="1" customWidth="1"/>
    <col min="10007" max="10007" width="10.25" bestFit="1" customWidth="1"/>
    <col min="10008" max="10010" width="6.875" bestFit="1" customWidth="1"/>
    <col min="10011" max="10011" width="10.25" bestFit="1" customWidth="1"/>
    <col min="10012" max="10012" width="17.875" bestFit="1" customWidth="1"/>
    <col min="10013" max="10013" width="6.875" bestFit="1" customWidth="1"/>
    <col min="10014" max="10014" width="10.25" bestFit="1" customWidth="1"/>
    <col min="10015" max="10017" width="6.875" bestFit="1" customWidth="1"/>
    <col min="10018" max="10018" width="10.25" bestFit="1" customWidth="1"/>
    <col min="10019" max="10019" width="17.875" bestFit="1" customWidth="1"/>
    <col min="10020" max="10020" width="6.875" bestFit="1" customWidth="1"/>
    <col min="10021" max="10021" width="10.25" bestFit="1" customWidth="1"/>
    <col min="10022" max="10024" width="6.875" bestFit="1" customWidth="1"/>
    <col min="10025" max="10026" width="10.25" bestFit="1" customWidth="1"/>
    <col min="10027" max="10027" width="17.875" bestFit="1" customWidth="1"/>
    <col min="10028" max="10028" width="6.875" bestFit="1" customWidth="1"/>
    <col min="10029" max="10029" width="10.25" bestFit="1" customWidth="1"/>
    <col min="10030" max="10032" width="6.875" bestFit="1" customWidth="1"/>
    <col min="10033" max="10033" width="10.25" bestFit="1" customWidth="1"/>
    <col min="10034" max="10034" width="17.875" bestFit="1" customWidth="1"/>
    <col min="10035" max="10035" width="6.875" bestFit="1" customWidth="1"/>
    <col min="10036" max="10036" width="10.25" bestFit="1" customWidth="1"/>
    <col min="10037" max="10039" width="6.875" bestFit="1" customWidth="1"/>
    <col min="10040" max="10040" width="10.25" bestFit="1" customWidth="1"/>
    <col min="10041" max="10041" width="17.875" bestFit="1" customWidth="1"/>
    <col min="10042" max="10042" width="6.875" bestFit="1" customWidth="1"/>
    <col min="10043" max="10043" width="10.25" bestFit="1" customWidth="1"/>
    <col min="10044" max="10046" width="6.875" bestFit="1" customWidth="1"/>
    <col min="10047" max="10047" width="10.25" bestFit="1" customWidth="1"/>
    <col min="10048" max="10048" width="17.875" bestFit="1" customWidth="1"/>
    <col min="10049" max="10049" width="6.875" bestFit="1" customWidth="1"/>
    <col min="10050" max="10050" width="10.25" bestFit="1" customWidth="1"/>
    <col min="10051" max="10053" width="6.875" bestFit="1" customWidth="1"/>
    <col min="10054" max="10054" width="10.25" bestFit="1" customWidth="1"/>
    <col min="10055" max="10055" width="17.875" bestFit="1" customWidth="1"/>
    <col min="10056" max="10056" width="6.875" bestFit="1" customWidth="1"/>
    <col min="10057" max="10057" width="10.25" bestFit="1" customWidth="1"/>
    <col min="10058" max="10060" width="6.875" bestFit="1" customWidth="1"/>
    <col min="10061" max="10061" width="10.25" bestFit="1" customWidth="1"/>
    <col min="10062" max="10062" width="17.875" bestFit="1" customWidth="1"/>
    <col min="10063" max="10063" width="6.875" bestFit="1" customWidth="1"/>
    <col min="10064" max="10064" width="10.25" bestFit="1" customWidth="1"/>
    <col min="10065" max="10067" width="6.875" bestFit="1" customWidth="1"/>
    <col min="10068" max="10068" width="10.25" bestFit="1" customWidth="1"/>
    <col min="10069" max="10069" width="17.875" bestFit="1" customWidth="1"/>
    <col min="10070" max="10070" width="6.875" bestFit="1" customWidth="1"/>
    <col min="10071" max="10071" width="10.25" bestFit="1" customWidth="1"/>
    <col min="10072" max="10074" width="6.875" bestFit="1" customWidth="1"/>
    <col min="10075" max="10075" width="10.25" bestFit="1" customWidth="1"/>
    <col min="10076" max="10076" width="17.875" bestFit="1" customWidth="1"/>
    <col min="10077" max="10077" width="6.875" bestFit="1" customWidth="1"/>
    <col min="10078" max="10078" width="10.25" bestFit="1" customWidth="1"/>
    <col min="10079" max="10081" width="6.875" bestFit="1" customWidth="1"/>
    <col min="10082" max="10083" width="10.25" bestFit="1" customWidth="1"/>
    <col min="10084" max="10084" width="17.875" bestFit="1" customWidth="1"/>
    <col min="10085" max="10085" width="6.875" bestFit="1" customWidth="1"/>
    <col min="10086" max="10086" width="10.25" bestFit="1" customWidth="1"/>
    <col min="10087" max="10089" width="6.875" bestFit="1" customWidth="1"/>
    <col min="10090" max="10090" width="10.25" bestFit="1" customWidth="1"/>
    <col min="10091" max="10091" width="17.875" bestFit="1" customWidth="1"/>
    <col min="10092" max="10092" width="6.875" bestFit="1" customWidth="1"/>
    <col min="10093" max="10093" width="10.25" bestFit="1" customWidth="1"/>
    <col min="10094" max="10096" width="6.875" bestFit="1" customWidth="1"/>
    <col min="10097" max="10097" width="10.25" bestFit="1" customWidth="1"/>
    <col min="10098" max="10098" width="17.875" bestFit="1" customWidth="1"/>
    <col min="10099" max="10099" width="6.875" bestFit="1" customWidth="1"/>
    <col min="10100" max="10100" width="10.25" bestFit="1" customWidth="1"/>
    <col min="10101" max="10103" width="6.875" bestFit="1" customWidth="1"/>
    <col min="10104" max="10104" width="10.25" bestFit="1" customWidth="1"/>
    <col min="10105" max="10105" width="17.875" bestFit="1" customWidth="1"/>
    <col min="10106" max="10106" width="6.875" bestFit="1" customWidth="1"/>
    <col min="10107" max="10107" width="10.25" bestFit="1" customWidth="1"/>
    <col min="10108" max="10110" width="6.875" bestFit="1" customWidth="1"/>
    <col min="10111" max="10111" width="10.25" bestFit="1" customWidth="1"/>
    <col min="10112" max="10112" width="17.875" bestFit="1" customWidth="1"/>
    <col min="10113" max="10113" width="6.875" bestFit="1" customWidth="1"/>
    <col min="10114" max="10114" width="10.25" bestFit="1" customWidth="1"/>
    <col min="10115" max="10117" width="6.875" bestFit="1" customWidth="1"/>
    <col min="10118" max="10118" width="10.25" bestFit="1" customWidth="1"/>
    <col min="10119" max="10119" width="17.875" bestFit="1" customWidth="1"/>
    <col min="10120" max="10120" width="6.875" bestFit="1" customWidth="1"/>
    <col min="10121" max="10121" width="10.25" bestFit="1" customWidth="1"/>
    <col min="10122" max="10124" width="6.875" bestFit="1" customWidth="1"/>
    <col min="10125" max="10125" width="10.25" bestFit="1" customWidth="1"/>
    <col min="10126" max="10126" width="17.875" bestFit="1" customWidth="1"/>
    <col min="10127" max="10127" width="6.875" bestFit="1" customWidth="1"/>
    <col min="10128" max="10128" width="10.25" bestFit="1" customWidth="1"/>
    <col min="10129" max="10131" width="6.875" bestFit="1" customWidth="1"/>
    <col min="10132" max="10132" width="10.25" bestFit="1" customWidth="1"/>
    <col min="10133" max="10133" width="17.875" bestFit="1" customWidth="1"/>
    <col min="10134" max="10134" width="6.875" bestFit="1" customWidth="1"/>
    <col min="10135" max="10135" width="10.25" bestFit="1" customWidth="1"/>
    <col min="10136" max="10138" width="6.875" bestFit="1" customWidth="1"/>
    <col min="10139" max="10140" width="10.25" bestFit="1" customWidth="1"/>
    <col min="10141" max="10141" width="17.875" bestFit="1" customWidth="1"/>
    <col min="10142" max="10142" width="6.875" bestFit="1" customWidth="1"/>
    <col min="10143" max="10143" width="10.25" bestFit="1" customWidth="1"/>
    <col min="10144" max="10146" width="6.875" bestFit="1" customWidth="1"/>
    <col min="10147" max="10147" width="10.25" bestFit="1" customWidth="1"/>
    <col min="10148" max="10148" width="17.875" bestFit="1" customWidth="1"/>
    <col min="10149" max="10149" width="6.875" bestFit="1" customWidth="1"/>
    <col min="10150" max="10150" width="10.25" bestFit="1" customWidth="1"/>
    <col min="10151" max="10153" width="6.875" bestFit="1" customWidth="1"/>
    <col min="10154" max="10154" width="10.25" bestFit="1" customWidth="1"/>
    <col min="10155" max="10155" width="17.875" bestFit="1" customWidth="1"/>
    <col min="10156" max="10156" width="6.875" bestFit="1" customWidth="1"/>
    <col min="10157" max="10157" width="10.25" bestFit="1" customWidth="1"/>
    <col min="10158" max="10160" width="6.875" bestFit="1" customWidth="1"/>
    <col min="10161" max="10161" width="10.25" bestFit="1" customWidth="1"/>
    <col min="10162" max="10162" width="17.875" bestFit="1" customWidth="1"/>
    <col min="10163" max="10163" width="6.875" bestFit="1" customWidth="1"/>
    <col min="10164" max="10164" width="10.25" bestFit="1" customWidth="1"/>
    <col min="10165" max="10167" width="6.875" bestFit="1" customWidth="1"/>
    <col min="10168" max="10168" width="10.25" bestFit="1" customWidth="1"/>
    <col min="10169" max="10169" width="17.875" bestFit="1" customWidth="1"/>
    <col min="10170" max="10170" width="6.875" bestFit="1" customWidth="1"/>
    <col min="10171" max="10171" width="10.25" bestFit="1" customWidth="1"/>
    <col min="10172" max="10174" width="6.875" bestFit="1" customWidth="1"/>
    <col min="10175" max="10175" width="10.25" bestFit="1" customWidth="1"/>
    <col min="10176" max="10176" width="17.875" bestFit="1" customWidth="1"/>
    <col min="10177" max="10177" width="6.875" bestFit="1" customWidth="1"/>
    <col min="10178" max="10178" width="10.25" bestFit="1" customWidth="1"/>
    <col min="10179" max="10181" width="6.875" bestFit="1" customWidth="1"/>
    <col min="10182" max="10182" width="10.25" bestFit="1" customWidth="1"/>
    <col min="10183" max="10183" width="17.875" bestFit="1" customWidth="1"/>
    <col min="10184" max="10184" width="6.875" bestFit="1" customWidth="1"/>
    <col min="10185" max="10185" width="10.25" bestFit="1" customWidth="1"/>
    <col min="10186" max="10188" width="6.875" bestFit="1" customWidth="1"/>
    <col min="10189" max="10189" width="10.25" bestFit="1" customWidth="1"/>
    <col min="10190" max="10190" width="17.875" bestFit="1" customWidth="1"/>
    <col min="10191" max="10191" width="6.875" bestFit="1" customWidth="1"/>
    <col min="10192" max="10192" width="10.25" bestFit="1" customWidth="1"/>
    <col min="10193" max="10195" width="6.875" bestFit="1" customWidth="1"/>
    <col min="10196" max="10196" width="10.25" bestFit="1" customWidth="1"/>
  </cols>
  <sheetData>
    <row r="1" spans="1:70" s="58" customFormat="1" x14ac:dyDescent="0.3"/>
    <row r="2" spans="1:70" x14ac:dyDescent="0.3">
      <c r="A2" s="58" t="s">
        <v>0</v>
      </c>
      <c r="B2" s="58" t="s">
        <v>1</v>
      </c>
      <c r="C2" s="58" t="s">
        <v>2</v>
      </c>
      <c r="D2" s="58" t="s">
        <v>3</v>
      </c>
      <c r="E2" s="58" t="s">
        <v>4</v>
      </c>
      <c r="F2" s="58" t="s">
        <v>5</v>
      </c>
      <c r="G2" s="58" t="s">
        <v>6</v>
      </c>
      <c r="H2" s="58" t="s">
        <v>0</v>
      </c>
      <c r="I2" s="58" t="s">
        <v>1</v>
      </c>
      <c r="J2" s="58" t="s">
        <v>2</v>
      </c>
      <c r="K2" s="58" t="s">
        <v>3</v>
      </c>
      <c r="L2" s="58" t="s">
        <v>4</v>
      </c>
      <c r="M2" s="58" t="s">
        <v>5</v>
      </c>
      <c r="N2" s="58" t="s">
        <v>6</v>
      </c>
      <c r="O2" s="58" t="s">
        <v>0</v>
      </c>
      <c r="P2" s="58" t="s">
        <v>1</v>
      </c>
      <c r="Q2" s="58" t="s">
        <v>2</v>
      </c>
      <c r="R2" s="58" t="s">
        <v>3</v>
      </c>
      <c r="S2" s="58" t="s">
        <v>4</v>
      </c>
      <c r="T2" s="58" t="s">
        <v>5</v>
      </c>
      <c r="U2" s="58" t="s">
        <v>6</v>
      </c>
      <c r="V2" s="58" t="s">
        <v>0</v>
      </c>
      <c r="W2" s="58" t="s">
        <v>1</v>
      </c>
      <c r="X2" s="58" t="s">
        <v>2</v>
      </c>
      <c r="Y2" s="58" t="s">
        <v>3</v>
      </c>
      <c r="Z2" s="58" t="s">
        <v>4</v>
      </c>
      <c r="AA2" s="58" t="s">
        <v>5</v>
      </c>
      <c r="AB2" s="58" t="s">
        <v>6</v>
      </c>
      <c r="AC2" s="58" t="s">
        <v>0</v>
      </c>
      <c r="AD2" s="58" t="s">
        <v>1</v>
      </c>
      <c r="AE2" s="58" t="s">
        <v>2</v>
      </c>
      <c r="AF2" s="58" t="s">
        <v>3</v>
      </c>
      <c r="AG2" s="58" t="s">
        <v>4</v>
      </c>
      <c r="AH2" s="58" t="s">
        <v>5</v>
      </c>
      <c r="AI2" s="58" t="s">
        <v>6</v>
      </c>
      <c r="AJ2" s="58" t="s">
        <v>0</v>
      </c>
      <c r="AK2" s="58" t="s">
        <v>1</v>
      </c>
      <c r="AL2" s="58" t="s">
        <v>2</v>
      </c>
      <c r="AM2" s="58" t="s">
        <v>3</v>
      </c>
      <c r="AN2" s="58" t="s">
        <v>4</v>
      </c>
      <c r="AO2" s="58" t="s">
        <v>5</v>
      </c>
      <c r="AP2" s="58" t="s">
        <v>6</v>
      </c>
      <c r="AQ2" s="58" t="s">
        <v>0</v>
      </c>
      <c r="AR2" s="58" t="s">
        <v>1</v>
      </c>
      <c r="AS2" s="58" t="s">
        <v>2</v>
      </c>
      <c r="AT2" s="58" t="s">
        <v>3</v>
      </c>
      <c r="AU2" s="58" t="s">
        <v>4</v>
      </c>
      <c r="AV2" s="58" t="s">
        <v>5</v>
      </c>
      <c r="AW2" s="58" t="s">
        <v>6</v>
      </c>
      <c r="AX2" s="58" t="s">
        <v>0</v>
      </c>
      <c r="AY2" s="58" t="s">
        <v>1</v>
      </c>
      <c r="AZ2" s="58" t="s">
        <v>2</v>
      </c>
      <c r="BA2" s="58" t="s">
        <v>3</v>
      </c>
      <c r="BB2" s="58" t="s">
        <v>4</v>
      </c>
      <c r="BC2" s="58" t="s">
        <v>5</v>
      </c>
      <c r="BD2" s="58" t="s">
        <v>6</v>
      </c>
      <c r="BE2" s="58" t="s">
        <v>0</v>
      </c>
      <c r="BF2" s="58" t="s">
        <v>1</v>
      </c>
      <c r="BG2" s="58" t="s">
        <v>2</v>
      </c>
      <c r="BH2" s="58" t="s">
        <v>3</v>
      </c>
      <c r="BI2" s="58" t="s">
        <v>4</v>
      </c>
      <c r="BJ2" s="58" t="s">
        <v>5</v>
      </c>
      <c r="BK2" s="58" t="s">
        <v>6</v>
      </c>
      <c r="BL2" s="58" t="s">
        <v>0</v>
      </c>
      <c r="BM2" s="58" t="s">
        <v>1</v>
      </c>
      <c r="BN2" s="58" t="s">
        <v>2</v>
      </c>
      <c r="BO2" s="58" t="s">
        <v>3</v>
      </c>
      <c r="BP2" s="58" t="s">
        <v>4</v>
      </c>
      <c r="BQ2" s="58" t="s">
        <v>5</v>
      </c>
      <c r="BR2" s="58" t="s">
        <v>6</v>
      </c>
    </row>
    <row r="3" spans="1:70" x14ac:dyDescent="0.3">
      <c r="A3" s="58" t="s">
        <v>1877</v>
      </c>
      <c r="B3" s="59">
        <v>6800</v>
      </c>
      <c r="C3" s="58" t="s">
        <v>1878</v>
      </c>
      <c r="D3" s="59">
        <v>6160</v>
      </c>
      <c r="E3" s="59">
        <v>6850</v>
      </c>
      <c r="F3" s="59">
        <v>5970</v>
      </c>
      <c r="G3" s="59">
        <v>58204027</v>
      </c>
      <c r="H3" s="58" t="s">
        <v>1861</v>
      </c>
      <c r="I3" s="59">
        <v>4800</v>
      </c>
      <c r="J3" s="58" t="s">
        <v>1540</v>
      </c>
      <c r="K3" s="59">
        <v>4765</v>
      </c>
      <c r="L3" s="59">
        <v>4900</v>
      </c>
      <c r="M3" s="59">
        <v>4705</v>
      </c>
      <c r="N3" s="59">
        <v>5823645</v>
      </c>
      <c r="O3" s="58" t="s">
        <v>1845</v>
      </c>
      <c r="P3" s="59">
        <v>5170</v>
      </c>
      <c r="Q3" s="58" t="s">
        <v>1793</v>
      </c>
      <c r="R3" s="59">
        <v>5350</v>
      </c>
      <c r="S3" s="59">
        <v>5500</v>
      </c>
      <c r="T3" s="59">
        <v>5120</v>
      </c>
      <c r="U3" s="59">
        <v>19595429</v>
      </c>
      <c r="V3" s="58" t="s">
        <v>1831</v>
      </c>
      <c r="W3" s="59">
        <v>4025</v>
      </c>
      <c r="X3" s="58" t="s">
        <v>1832</v>
      </c>
      <c r="Y3" s="59">
        <v>3760</v>
      </c>
      <c r="Z3" s="59">
        <v>4025</v>
      </c>
      <c r="AA3" s="59">
        <v>3720</v>
      </c>
      <c r="AB3" s="59">
        <v>2023570</v>
      </c>
      <c r="AC3" s="58" t="s">
        <v>1814</v>
      </c>
      <c r="AD3" s="59">
        <v>4430</v>
      </c>
      <c r="AE3" s="58" t="s">
        <v>1815</v>
      </c>
      <c r="AF3" s="59">
        <v>4600</v>
      </c>
      <c r="AG3" s="59">
        <v>4635</v>
      </c>
      <c r="AH3" s="59">
        <v>4430</v>
      </c>
      <c r="AI3" s="59">
        <v>3955794</v>
      </c>
      <c r="AJ3" s="58" t="s">
        <v>1803</v>
      </c>
      <c r="AK3" s="59">
        <v>5140</v>
      </c>
      <c r="AL3" s="58" t="s">
        <v>1804</v>
      </c>
      <c r="AM3" s="59">
        <v>5350</v>
      </c>
      <c r="AN3" s="59">
        <v>5450</v>
      </c>
      <c r="AO3" s="59">
        <v>5060</v>
      </c>
      <c r="AP3" s="59">
        <v>15704465</v>
      </c>
      <c r="AQ3" s="58" t="s">
        <v>1544</v>
      </c>
      <c r="AR3" s="59">
        <v>5030</v>
      </c>
      <c r="AS3" s="58" t="s">
        <v>1793</v>
      </c>
      <c r="AT3" s="59">
        <v>5150</v>
      </c>
      <c r="AU3" s="59">
        <v>5160</v>
      </c>
      <c r="AV3" s="59">
        <v>4990</v>
      </c>
      <c r="AW3" s="59">
        <v>4360714</v>
      </c>
      <c r="AX3" s="58" t="s">
        <v>1514</v>
      </c>
      <c r="AY3" s="59">
        <v>5550</v>
      </c>
      <c r="AZ3" s="58" t="s">
        <v>1512</v>
      </c>
      <c r="BA3" s="59">
        <v>5600</v>
      </c>
      <c r="BB3" s="59">
        <v>5670</v>
      </c>
      <c r="BC3" s="59">
        <v>5460</v>
      </c>
      <c r="BD3" s="59">
        <v>7472404</v>
      </c>
      <c r="BE3" s="58" t="s">
        <v>1045</v>
      </c>
      <c r="BF3" s="59">
        <v>5290</v>
      </c>
      <c r="BG3" s="58" t="s">
        <v>1776</v>
      </c>
      <c r="BH3" s="59">
        <v>4780</v>
      </c>
      <c r="BI3" s="59">
        <v>5500</v>
      </c>
      <c r="BJ3" s="59">
        <v>4540</v>
      </c>
      <c r="BK3" s="59">
        <v>140513641</v>
      </c>
      <c r="BL3" s="58" t="s">
        <v>1023</v>
      </c>
      <c r="BM3" s="59">
        <v>3370</v>
      </c>
      <c r="BN3" s="58" t="s">
        <v>1768</v>
      </c>
      <c r="BO3" s="59">
        <v>3430</v>
      </c>
      <c r="BP3" s="59">
        <v>3560</v>
      </c>
      <c r="BQ3" s="59">
        <v>3240</v>
      </c>
      <c r="BR3" s="59">
        <v>34591136</v>
      </c>
    </row>
    <row r="4" spans="1:70" x14ac:dyDescent="0.3">
      <c r="A4" s="58" t="s">
        <v>1879</v>
      </c>
      <c r="B4" s="59">
        <v>5700</v>
      </c>
      <c r="C4" s="58" t="s">
        <v>1880</v>
      </c>
      <c r="D4" s="59">
        <v>5860</v>
      </c>
      <c r="E4" s="59">
        <v>6060</v>
      </c>
      <c r="F4" s="59">
        <v>5560</v>
      </c>
      <c r="G4" s="59">
        <v>30810473</v>
      </c>
      <c r="H4" s="58" t="s">
        <v>1862</v>
      </c>
      <c r="I4" s="59">
        <v>4650</v>
      </c>
      <c r="J4" s="58" t="s">
        <v>1541</v>
      </c>
      <c r="K4" s="59">
        <v>4550</v>
      </c>
      <c r="L4" s="59">
        <v>4785</v>
      </c>
      <c r="M4" s="59">
        <v>4550</v>
      </c>
      <c r="N4" s="59">
        <v>3243471</v>
      </c>
      <c r="O4" s="58" t="s">
        <v>1846</v>
      </c>
      <c r="P4" s="59">
        <v>5190</v>
      </c>
      <c r="Q4" s="58" t="s">
        <v>1847</v>
      </c>
      <c r="R4" s="59">
        <v>4860</v>
      </c>
      <c r="S4" s="59">
        <v>5600</v>
      </c>
      <c r="T4" s="59">
        <v>4860</v>
      </c>
      <c r="U4" s="59">
        <v>43822618</v>
      </c>
      <c r="V4" s="58" t="s">
        <v>1833</v>
      </c>
      <c r="W4" s="59">
        <v>3820</v>
      </c>
      <c r="X4" s="58" t="s">
        <v>1527</v>
      </c>
      <c r="Y4" s="59">
        <v>4085</v>
      </c>
      <c r="Z4" s="59">
        <v>4145</v>
      </c>
      <c r="AA4" s="59">
        <v>3800</v>
      </c>
      <c r="AB4" s="59">
        <v>2268693</v>
      </c>
      <c r="AC4" s="58" t="s">
        <v>1816</v>
      </c>
      <c r="AD4" s="59">
        <v>4715</v>
      </c>
      <c r="AE4" s="58" t="s">
        <v>1817</v>
      </c>
      <c r="AF4" s="59">
        <v>4915</v>
      </c>
      <c r="AG4" s="59">
        <v>4935</v>
      </c>
      <c r="AH4" s="59">
        <v>4715</v>
      </c>
      <c r="AI4" s="59">
        <v>3524907</v>
      </c>
      <c r="AJ4" s="58" t="s">
        <v>1602</v>
      </c>
      <c r="AK4" s="59">
        <v>4870</v>
      </c>
      <c r="AL4" s="58" t="s">
        <v>1805</v>
      </c>
      <c r="AM4" s="59">
        <v>4770</v>
      </c>
      <c r="AN4" s="59">
        <v>5150</v>
      </c>
      <c r="AO4" s="59">
        <v>4735</v>
      </c>
      <c r="AP4" s="59">
        <v>15478822</v>
      </c>
      <c r="AQ4" s="58" t="s">
        <v>1545</v>
      </c>
      <c r="AR4" s="59">
        <v>5050</v>
      </c>
      <c r="AS4" s="58" t="s">
        <v>1794</v>
      </c>
      <c r="AT4" s="59">
        <v>4920</v>
      </c>
      <c r="AU4" s="59">
        <v>5410</v>
      </c>
      <c r="AV4" s="59">
        <v>4885</v>
      </c>
      <c r="AW4" s="59">
        <v>23456635</v>
      </c>
      <c r="AX4" s="58" t="s">
        <v>1203</v>
      </c>
      <c r="AY4" s="59">
        <v>5600</v>
      </c>
      <c r="AZ4" s="58" t="s">
        <v>1785</v>
      </c>
      <c r="BA4" s="59">
        <v>6050</v>
      </c>
      <c r="BB4" s="59">
        <v>6180</v>
      </c>
      <c r="BC4" s="59">
        <v>5520</v>
      </c>
      <c r="BD4" s="59">
        <v>29278721</v>
      </c>
      <c r="BE4" s="58" t="s">
        <v>1033</v>
      </c>
      <c r="BF4" s="59">
        <v>4250</v>
      </c>
      <c r="BG4" s="58" t="s">
        <v>1777</v>
      </c>
      <c r="BH4" s="59">
        <v>4430</v>
      </c>
      <c r="BI4" s="59">
        <v>4755</v>
      </c>
      <c r="BJ4" s="59">
        <v>4170</v>
      </c>
      <c r="BK4" s="59">
        <v>36889473</v>
      </c>
      <c r="BL4" s="58" t="s">
        <v>1024</v>
      </c>
      <c r="BM4" s="59">
        <v>3295</v>
      </c>
      <c r="BN4" s="58" t="s">
        <v>1769</v>
      </c>
      <c r="BO4" s="59">
        <v>3425</v>
      </c>
      <c r="BP4" s="59">
        <v>3470</v>
      </c>
      <c r="BQ4" s="59">
        <v>3265</v>
      </c>
      <c r="BR4" s="59">
        <v>14485366</v>
      </c>
    </row>
    <row r="5" spans="1:70" x14ac:dyDescent="0.3">
      <c r="A5" s="58" t="s">
        <v>1881</v>
      </c>
      <c r="B5" s="59">
        <v>5540</v>
      </c>
      <c r="C5" s="58" t="s">
        <v>1601</v>
      </c>
      <c r="D5" s="59">
        <v>5130</v>
      </c>
      <c r="E5" s="59">
        <v>6250</v>
      </c>
      <c r="F5" s="59">
        <v>4990</v>
      </c>
      <c r="G5" s="59">
        <v>79340193</v>
      </c>
      <c r="H5" s="58" t="s">
        <v>1863</v>
      </c>
      <c r="I5" s="59">
        <v>4550</v>
      </c>
      <c r="J5" s="58" t="s">
        <v>1511</v>
      </c>
      <c r="K5" s="59">
        <v>4650</v>
      </c>
      <c r="L5" s="59">
        <v>4745</v>
      </c>
      <c r="M5" s="59">
        <v>4550</v>
      </c>
      <c r="N5" s="59">
        <v>3165736</v>
      </c>
      <c r="O5" s="58" t="s">
        <v>1848</v>
      </c>
      <c r="P5" s="59">
        <v>4860</v>
      </c>
      <c r="Q5" s="58" t="s">
        <v>1849</v>
      </c>
      <c r="R5" s="59">
        <v>5050</v>
      </c>
      <c r="S5" s="59">
        <v>5090</v>
      </c>
      <c r="T5" s="59">
        <v>4840</v>
      </c>
      <c r="U5" s="59">
        <v>9129843</v>
      </c>
      <c r="V5" s="58" t="s">
        <v>1834</v>
      </c>
      <c r="W5" s="59">
        <v>3970</v>
      </c>
      <c r="X5" s="58" t="s">
        <v>1835</v>
      </c>
      <c r="Y5" s="59">
        <v>3990</v>
      </c>
      <c r="Z5" s="59">
        <v>4055</v>
      </c>
      <c r="AA5" s="59">
        <v>3915</v>
      </c>
      <c r="AB5" s="59">
        <v>2018251</v>
      </c>
      <c r="AC5" s="58" t="s">
        <v>1818</v>
      </c>
      <c r="AD5" s="59">
        <v>4870</v>
      </c>
      <c r="AE5" s="58" t="s">
        <v>1819</v>
      </c>
      <c r="AF5" s="59">
        <v>4985</v>
      </c>
      <c r="AG5" s="59">
        <v>5060</v>
      </c>
      <c r="AH5" s="59">
        <v>4870</v>
      </c>
      <c r="AI5" s="59">
        <v>5590992</v>
      </c>
      <c r="AJ5" s="58" t="s">
        <v>1603</v>
      </c>
      <c r="AK5" s="59">
        <v>4725</v>
      </c>
      <c r="AL5" s="58" t="s">
        <v>1806</v>
      </c>
      <c r="AM5" s="59">
        <v>4705</v>
      </c>
      <c r="AN5" s="59">
        <v>4810</v>
      </c>
      <c r="AO5" s="59">
        <v>4640</v>
      </c>
      <c r="AP5" s="59">
        <v>5104964</v>
      </c>
      <c r="AQ5" s="58" t="s">
        <v>1528</v>
      </c>
      <c r="AR5" s="59">
        <v>4885</v>
      </c>
      <c r="AS5" s="58" t="s">
        <v>1795</v>
      </c>
      <c r="AT5" s="59">
        <v>4975</v>
      </c>
      <c r="AU5" s="59">
        <v>4985</v>
      </c>
      <c r="AV5" s="59">
        <v>4855</v>
      </c>
      <c r="AW5" s="59">
        <v>4691785</v>
      </c>
      <c r="AX5" s="58" t="s">
        <v>1202</v>
      </c>
      <c r="AY5" s="59">
        <v>5420</v>
      </c>
      <c r="AZ5" s="58" t="s">
        <v>1786</v>
      </c>
      <c r="BA5" s="59">
        <v>5480</v>
      </c>
      <c r="BB5" s="59">
        <v>5600</v>
      </c>
      <c r="BC5" s="59">
        <v>5420</v>
      </c>
      <c r="BD5" s="59">
        <v>9605588</v>
      </c>
      <c r="BE5" s="58" t="s">
        <v>1034</v>
      </c>
      <c r="BF5" s="59">
        <v>4185</v>
      </c>
      <c r="BG5" s="58" t="s">
        <v>1774</v>
      </c>
      <c r="BH5" s="59">
        <v>4185</v>
      </c>
      <c r="BI5" s="59">
        <v>4190</v>
      </c>
      <c r="BJ5" s="59">
        <v>3860</v>
      </c>
      <c r="BK5" s="59">
        <v>12577370</v>
      </c>
      <c r="BL5" s="58" t="s">
        <v>1025</v>
      </c>
      <c r="BM5" s="59">
        <v>3390</v>
      </c>
      <c r="BN5" s="58" t="s">
        <v>1770</v>
      </c>
      <c r="BO5" s="59">
        <v>3490</v>
      </c>
      <c r="BP5" s="59">
        <v>3540</v>
      </c>
      <c r="BQ5" s="59">
        <v>3310</v>
      </c>
      <c r="BR5" s="59">
        <v>19502259</v>
      </c>
    </row>
    <row r="6" spans="1:70" x14ac:dyDescent="0.3">
      <c r="A6" s="58" t="s">
        <v>1882</v>
      </c>
      <c r="B6" s="59">
        <v>5140</v>
      </c>
      <c r="C6" s="58" t="s">
        <v>1819</v>
      </c>
      <c r="D6" s="59">
        <v>5340</v>
      </c>
      <c r="E6" s="59">
        <v>5570</v>
      </c>
      <c r="F6" s="59">
        <v>5100</v>
      </c>
      <c r="G6" s="59">
        <v>14541417</v>
      </c>
      <c r="H6" s="58" t="s">
        <v>1864</v>
      </c>
      <c r="I6" s="59">
        <v>4500</v>
      </c>
      <c r="J6" s="58" t="s">
        <v>1865</v>
      </c>
      <c r="K6" s="59">
        <v>4510</v>
      </c>
      <c r="L6" s="59">
        <v>4665</v>
      </c>
      <c r="M6" s="59">
        <v>4410</v>
      </c>
      <c r="N6" s="59">
        <v>3697113</v>
      </c>
      <c r="O6" s="58" t="s">
        <v>1850</v>
      </c>
      <c r="P6" s="59">
        <v>4815</v>
      </c>
      <c r="Q6" s="58" t="s">
        <v>1851</v>
      </c>
      <c r="R6" s="59">
        <v>5110</v>
      </c>
      <c r="S6" s="59">
        <v>5180</v>
      </c>
      <c r="T6" s="59">
        <v>4780</v>
      </c>
      <c r="U6" s="59">
        <v>12594219</v>
      </c>
      <c r="V6" s="58" t="s">
        <v>1836</v>
      </c>
      <c r="W6" s="59">
        <v>4105</v>
      </c>
      <c r="X6" s="58" t="s">
        <v>1835</v>
      </c>
      <c r="Y6" s="59">
        <v>4275</v>
      </c>
      <c r="Z6" s="59">
        <v>4285</v>
      </c>
      <c r="AA6" s="59">
        <v>4100</v>
      </c>
      <c r="AB6" s="59">
        <v>1705172</v>
      </c>
      <c r="AC6" s="58" t="s">
        <v>1820</v>
      </c>
      <c r="AD6" s="59">
        <v>4850</v>
      </c>
      <c r="AE6" s="58" t="s">
        <v>1821</v>
      </c>
      <c r="AF6" s="59">
        <v>4820</v>
      </c>
      <c r="AG6" s="59">
        <v>4910</v>
      </c>
      <c r="AH6" s="59">
        <v>4750</v>
      </c>
      <c r="AI6" s="59">
        <v>5230589</v>
      </c>
      <c r="AJ6" s="58" t="s">
        <v>1604</v>
      </c>
      <c r="AK6" s="59">
        <v>4695</v>
      </c>
      <c r="AL6" s="58" t="s">
        <v>1807</v>
      </c>
      <c r="AM6" s="59">
        <v>5240</v>
      </c>
      <c r="AN6" s="59">
        <v>5270</v>
      </c>
      <c r="AO6" s="59">
        <v>4670</v>
      </c>
      <c r="AP6" s="59">
        <v>16136782</v>
      </c>
      <c r="AQ6" s="58" t="s">
        <v>1529</v>
      </c>
      <c r="AR6" s="59">
        <v>4845</v>
      </c>
      <c r="AS6" s="58" t="s">
        <v>1796</v>
      </c>
      <c r="AT6" s="59">
        <v>4755</v>
      </c>
      <c r="AU6" s="59">
        <v>4995</v>
      </c>
      <c r="AV6" s="59">
        <v>4710</v>
      </c>
      <c r="AW6" s="59">
        <v>6642166</v>
      </c>
      <c r="AX6" s="58" t="s">
        <v>1166</v>
      </c>
      <c r="AY6" s="59">
        <v>5290</v>
      </c>
      <c r="AZ6" s="58" t="s">
        <v>1787</v>
      </c>
      <c r="BA6" s="59">
        <v>5160</v>
      </c>
      <c r="BB6" s="59">
        <v>5570</v>
      </c>
      <c r="BC6" s="59">
        <v>5160</v>
      </c>
      <c r="BD6" s="59">
        <v>11565614</v>
      </c>
      <c r="BE6" s="58" t="s">
        <v>1035</v>
      </c>
      <c r="BF6" s="59">
        <v>4325</v>
      </c>
      <c r="BG6" s="58" t="s">
        <v>1778</v>
      </c>
      <c r="BH6" s="59">
        <v>4600</v>
      </c>
      <c r="BI6" s="59">
        <v>4940</v>
      </c>
      <c r="BJ6" s="59">
        <v>4245</v>
      </c>
      <c r="BK6" s="59">
        <v>88471972</v>
      </c>
      <c r="BL6" s="58" t="s">
        <v>1026</v>
      </c>
      <c r="BM6" s="59">
        <v>3320</v>
      </c>
      <c r="BN6" s="58" t="s">
        <v>1511</v>
      </c>
      <c r="BO6" s="59">
        <v>3350</v>
      </c>
      <c r="BP6" s="59">
        <v>3600</v>
      </c>
      <c r="BQ6" s="59">
        <v>3250</v>
      </c>
      <c r="BR6" s="59">
        <v>50161425</v>
      </c>
    </row>
    <row r="7" spans="1:70" x14ac:dyDescent="0.3">
      <c r="A7" s="58" t="s">
        <v>1883</v>
      </c>
      <c r="B7" s="59">
        <v>5120</v>
      </c>
      <c r="C7" s="58" t="s">
        <v>1884</v>
      </c>
      <c r="D7" s="59">
        <v>4920</v>
      </c>
      <c r="E7" s="59">
        <v>5210</v>
      </c>
      <c r="F7" s="59">
        <v>4870</v>
      </c>
      <c r="G7" s="59">
        <v>11319009</v>
      </c>
      <c r="H7" s="58" t="s">
        <v>1866</v>
      </c>
      <c r="I7" s="59">
        <v>4760</v>
      </c>
      <c r="J7" s="58" t="s">
        <v>1867</v>
      </c>
      <c r="K7" s="59">
        <v>4700</v>
      </c>
      <c r="L7" s="59">
        <v>4875</v>
      </c>
      <c r="M7" s="59">
        <v>4700</v>
      </c>
      <c r="N7" s="59">
        <v>4447122</v>
      </c>
      <c r="O7" s="58" t="s">
        <v>1852</v>
      </c>
      <c r="P7" s="59">
        <v>5250</v>
      </c>
      <c r="Q7" s="58" t="s">
        <v>1853</v>
      </c>
      <c r="R7" s="59">
        <v>5700</v>
      </c>
      <c r="S7" s="59">
        <v>5700</v>
      </c>
      <c r="T7" s="59">
        <v>5140</v>
      </c>
      <c r="U7" s="59">
        <v>53787359</v>
      </c>
      <c r="V7" s="58" t="s">
        <v>1837</v>
      </c>
      <c r="W7" s="59">
        <v>4240</v>
      </c>
      <c r="X7" s="58" t="s">
        <v>1828</v>
      </c>
      <c r="Y7" s="59">
        <v>4250</v>
      </c>
      <c r="Z7" s="59">
        <v>4425</v>
      </c>
      <c r="AA7" s="59">
        <v>4230</v>
      </c>
      <c r="AB7" s="59">
        <v>2688047</v>
      </c>
      <c r="AC7" s="58" t="s">
        <v>1822</v>
      </c>
      <c r="AD7" s="59">
        <v>4910</v>
      </c>
      <c r="AE7" s="58" t="s">
        <v>1823</v>
      </c>
      <c r="AF7" s="59">
        <v>5100</v>
      </c>
      <c r="AG7" s="59">
        <v>5120</v>
      </c>
      <c r="AH7" s="59">
        <v>4720</v>
      </c>
      <c r="AI7" s="59">
        <v>9729660</v>
      </c>
      <c r="AJ7" s="58" t="s">
        <v>1566</v>
      </c>
      <c r="AK7" s="59">
        <v>4680</v>
      </c>
      <c r="AL7" s="58" t="s">
        <v>1808</v>
      </c>
      <c r="AM7" s="59">
        <v>4720</v>
      </c>
      <c r="AN7" s="59">
        <v>4820</v>
      </c>
      <c r="AO7" s="59">
        <v>4560</v>
      </c>
      <c r="AP7" s="59">
        <v>5692933</v>
      </c>
      <c r="AQ7" s="58" t="s">
        <v>1530</v>
      </c>
      <c r="AR7" s="59">
        <v>4755</v>
      </c>
      <c r="AS7" s="58" t="s">
        <v>1797</v>
      </c>
      <c r="AT7" s="59">
        <v>4840</v>
      </c>
      <c r="AU7" s="59">
        <v>5030</v>
      </c>
      <c r="AV7" s="59">
        <v>4755</v>
      </c>
      <c r="AW7" s="59">
        <v>10882441</v>
      </c>
      <c r="AX7" s="58" t="s">
        <v>1155</v>
      </c>
      <c r="AY7" s="59">
        <v>5570</v>
      </c>
      <c r="AZ7" s="58" t="s">
        <v>1788</v>
      </c>
      <c r="BA7" s="59">
        <v>5600</v>
      </c>
      <c r="BB7" s="59">
        <v>5970</v>
      </c>
      <c r="BC7" s="59">
        <v>5480</v>
      </c>
      <c r="BD7" s="59">
        <v>15788427</v>
      </c>
      <c r="BE7" s="58" t="s">
        <v>1036</v>
      </c>
      <c r="BF7" s="59">
        <v>4240</v>
      </c>
      <c r="BG7" s="58" t="s">
        <v>1779</v>
      </c>
      <c r="BH7" s="59">
        <v>4320</v>
      </c>
      <c r="BI7" s="59">
        <v>4520</v>
      </c>
      <c r="BJ7" s="59">
        <v>4215</v>
      </c>
      <c r="BK7" s="59">
        <v>24503184</v>
      </c>
      <c r="BL7" s="58" t="s">
        <v>1027</v>
      </c>
      <c r="BM7" s="59">
        <v>3270</v>
      </c>
      <c r="BN7" s="58" t="s">
        <v>1771</v>
      </c>
      <c r="BO7" s="59">
        <v>3290</v>
      </c>
      <c r="BP7" s="59">
        <v>3375</v>
      </c>
      <c r="BQ7" s="59">
        <v>3205</v>
      </c>
      <c r="BR7" s="59">
        <v>11513238</v>
      </c>
    </row>
    <row r="8" spans="1:70" x14ac:dyDescent="0.3">
      <c r="A8" s="58" t="s">
        <v>1885</v>
      </c>
      <c r="B8" s="59">
        <v>4775</v>
      </c>
      <c r="C8" s="58">
        <v>0</v>
      </c>
      <c r="D8" s="59">
        <v>4910</v>
      </c>
      <c r="E8" s="59">
        <v>5060</v>
      </c>
      <c r="F8" s="59">
        <v>4765</v>
      </c>
      <c r="G8" s="59">
        <v>6154340</v>
      </c>
      <c r="H8" s="58" t="s">
        <v>1868</v>
      </c>
      <c r="I8" s="59">
        <v>4655</v>
      </c>
      <c r="J8" s="58" t="s">
        <v>1773</v>
      </c>
      <c r="K8" s="59">
        <v>4700</v>
      </c>
      <c r="L8" s="59">
        <v>5100</v>
      </c>
      <c r="M8" s="59">
        <v>4645</v>
      </c>
      <c r="N8" s="59">
        <v>10267676</v>
      </c>
      <c r="O8" s="58" t="s">
        <v>1854</v>
      </c>
      <c r="P8" s="59">
        <v>4580</v>
      </c>
      <c r="Q8" s="58" t="s">
        <v>1855</v>
      </c>
      <c r="R8" s="59">
        <v>4285</v>
      </c>
      <c r="S8" s="59">
        <v>4610</v>
      </c>
      <c r="T8" s="59">
        <v>4220</v>
      </c>
      <c r="U8" s="59">
        <v>8411036</v>
      </c>
      <c r="V8" s="58" t="s">
        <v>1838</v>
      </c>
      <c r="W8" s="59">
        <v>4270</v>
      </c>
      <c r="X8" s="58" t="s">
        <v>1797</v>
      </c>
      <c r="Y8" s="59">
        <v>4330</v>
      </c>
      <c r="Z8" s="59">
        <v>4335</v>
      </c>
      <c r="AA8" s="59">
        <v>4215</v>
      </c>
      <c r="AB8" s="59">
        <v>1967641</v>
      </c>
      <c r="AC8" s="58" t="s">
        <v>1824</v>
      </c>
      <c r="AD8" s="59">
        <v>5090</v>
      </c>
      <c r="AE8" s="58" t="s">
        <v>1600</v>
      </c>
      <c r="AF8" s="59">
        <v>5830</v>
      </c>
      <c r="AG8" s="59">
        <v>5860</v>
      </c>
      <c r="AH8" s="59">
        <v>5020</v>
      </c>
      <c r="AI8" s="59">
        <v>26176454</v>
      </c>
      <c r="AJ8" s="58" t="s">
        <v>1567</v>
      </c>
      <c r="AK8" s="59">
        <v>4845</v>
      </c>
      <c r="AL8" s="58" t="s">
        <v>1809</v>
      </c>
      <c r="AM8" s="59">
        <v>5140</v>
      </c>
      <c r="AN8" s="59">
        <v>5400</v>
      </c>
      <c r="AO8" s="59">
        <v>4755</v>
      </c>
      <c r="AP8" s="59">
        <v>16888511</v>
      </c>
      <c r="AQ8" s="58" t="s">
        <v>1531</v>
      </c>
      <c r="AR8" s="59">
        <v>4780</v>
      </c>
      <c r="AS8" s="58" t="s">
        <v>1798</v>
      </c>
      <c r="AT8" s="59">
        <v>4785</v>
      </c>
      <c r="AU8" s="59">
        <v>4845</v>
      </c>
      <c r="AV8" s="59">
        <v>4675</v>
      </c>
      <c r="AW8" s="59">
        <v>8336569</v>
      </c>
      <c r="AX8" s="58" t="s">
        <v>1156</v>
      </c>
      <c r="AY8" s="59">
        <v>5760</v>
      </c>
      <c r="AZ8" s="58" t="s">
        <v>1789</v>
      </c>
      <c r="BA8" s="59">
        <v>5890</v>
      </c>
      <c r="BB8" s="59">
        <v>6330</v>
      </c>
      <c r="BC8" s="59">
        <v>5630</v>
      </c>
      <c r="BD8" s="59">
        <v>48380030</v>
      </c>
      <c r="BE8" s="58" t="s">
        <v>1037</v>
      </c>
      <c r="BF8" s="59">
        <v>4205</v>
      </c>
      <c r="BG8" s="58" t="s">
        <v>1780</v>
      </c>
      <c r="BH8" s="59">
        <v>4300</v>
      </c>
      <c r="BI8" s="59">
        <v>4415</v>
      </c>
      <c r="BJ8" s="59">
        <v>4100</v>
      </c>
      <c r="BK8" s="59">
        <v>15491963</v>
      </c>
      <c r="BL8" s="58" t="s">
        <v>1028</v>
      </c>
      <c r="BM8" s="59">
        <v>3395</v>
      </c>
      <c r="BN8" s="58" t="s">
        <v>1772</v>
      </c>
      <c r="BO8" s="59">
        <v>3300</v>
      </c>
      <c r="BP8" s="59">
        <v>3520</v>
      </c>
      <c r="BQ8" s="59">
        <v>3185</v>
      </c>
      <c r="BR8" s="59">
        <v>53754157</v>
      </c>
    </row>
    <row r="9" spans="1:70" x14ac:dyDescent="0.3">
      <c r="A9" s="58" t="s">
        <v>1886</v>
      </c>
      <c r="B9" s="59">
        <v>4775</v>
      </c>
      <c r="C9" s="58" t="s">
        <v>1887</v>
      </c>
      <c r="D9" s="59">
        <v>5170</v>
      </c>
      <c r="E9" s="59">
        <v>5240</v>
      </c>
      <c r="F9" s="59">
        <v>4750</v>
      </c>
      <c r="G9" s="59">
        <v>9640388</v>
      </c>
      <c r="H9" s="58" t="s">
        <v>1869</v>
      </c>
      <c r="I9" s="59">
        <v>4815</v>
      </c>
      <c r="J9" s="58" t="s">
        <v>1870</v>
      </c>
      <c r="K9" s="59">
        <v>5250</v>
      </c>
      <c r="L9" s="59">
        <v>5410</v>
      </c>
      <c r="M9" s="59">
        <v>4815</v>
      </c>
      <c r="N9" s="59">
        <v>14633585</v>
      </c>
      <c r="O9" s="58" t="s">
        <v>1856</v>
      </c>
      <c r="P9" s="59">
        <v>4210</v>
      </c>
      <c r="Q9" s="58" t="s">
        <v>1511</v>
      </c>
      <c r="R9" s="59">
        <v>4175</v>
      </c>
      <c r="S9" s="59">
        <v>4270</v>
      </c>
      <c r="T9" s="59">
        <v>4140</v>
      </c>
      <c r="U9" s="59">
        <v>1793833</v>
      </c>
      <c r="V9" s="58" t="s">
        <v>1839</v>
      </c>
      <c r="W9" s="59">
        <v>4295</v>
      </c>
      <c r="X9" s="58" t="s">
        <v>1840</v>
      </c>
      <c r="Y9" s="59">
        <v>4300</v>
      </c>
      <c r="Z9" s="59">
        <v>4375</v>
      </c>
      <c r="AA9" s="59">
        <v>4230</v>
      </c>
      <c r="AB9" s="59">
        <v>4717275</v>
      </c>
      <c r="AC9" s="58" t="s">
        <v>1825</v>
      </c>
      <c r="AD9" s="59">
        <v>5790</v>
      </c>
      <c r="AE9" s="58" t="s">
        <v>1826</v>
      </c>
      <c r="AF9" s="59">
        <v>5590</v>
      </c>
      <c r="AG9" s="59">
        <v>6520</v>
      </c>
      <c r="AH9" s="59">
        <v>5510</v>
      </c>
      <c r="AI9" s="59">
        <v>129199637</v>
      </c>
      <c r="AJ9" s="58" t="s">
        <v>1568</v>
      </c>
      <c r="AK9" s="59">
        <v>4915</v>
      </c>
      <c r="AL9" s="58" t="s">
        <v>1810</v>
      </c>
      <c r="AM9" s="59">
        <v>5220</v>
      </c>
      <c r="AN9" s="59">
        <v>5250</v>
      </c>
      <c r="AO9" s="59">
        <v>4855</v>
      </c>
      <c r="AP9" s="59">
        <v>8015345</v>
      </c>
      <c r="AQ9" s="58" t="s">
        <v>1532</v>
      </c>
      <c r="AR9" s="59">
        <v>5010</v>
      </c>
      <c r="AS9" s="58" t="s">
        <v>1799</v>
      </c>
      <c r="AT9" s="59">
        <v>5010</v>
      </c>
      <c r="AU9" s="59">
        <v>5240</v>
      </c>
      <c r="AV9" s="59">
        <v>5000</v>
      </c>
      <c r="AW9" s="59">
        <v>6142927</v>
      </c>
      <c r="AX9" s="58" t="s">
        <v>1157</v>
      </c>
      <c r="AY9" s="59">
        <v>5550</v>
      </c>
      <c r="AZ9" s="58" t="s">
        <v>1790</v>
      </c>
      <c r="BA9" s="59">
        <v>5220</v>
      </c>
      <c r="BB9" s="59">
        <v>6540</v>
      </c>
      <c r="BC9" s="59">
        <v>4985</v>
      </c>
      <c r="BD9" s="59">
        <v>150637941</v>
      </c>
      <c r="BE9" s="58" t="s">
        <v>1019</v>
      </c>
      <c r="BF9" s="59">
        <v>4400</v>
      </c>
      <c r="BG9" s="58" t="s">
        <v>1781</v>
      </c>
      <c r="BH9" s="59">
        <v>4500</v>
      </c>
      <c r="BI9" s="59">
        <v>4505</v>
      </c>
      <c r="BJ9" s="59">
        <v>4275</v>
      </c>
      <c r="BK9" s="59">
        <v>14467968</v>
      </c>
      <c r="BL9" s="58" t="s">
        <v>1015</v>
      </c>
      <c r="BM9" s="59">
        <v>3120</v>
      </c>
      <c r="BN9" s="58" t="s">
        <v>1773</v>
      </c>
      <c r="BO9" s="59">
        <v>3580</v>
      </c>
      <c r="BP9" s="59">
        <v>3680</v>
      </c>
      <c r="BQ9" s="59">
        <v>3100</v>
      </c>
      <c r="BR9" s="59">
        <v>56971577</v>
      </c>
    </row>
    <row r="10" spans="1:70" x14ac:dyDescent="0.3">
      <c r="A10" s="58" t="s">
        <v>1888</v>
      </c>
      <c r="B10" s="59">
        <v>4995</v>
      </c>
      <c r="C10" s="58" t="s">
        <v>1804</v>
      </c>
      <c r="D10" s="59">
        <v>4930</v>
      </c>
      <c r="E10" s="59">
        <v>5350</v>
      </c>
      <c r="F10" s="59">
        <v>4760</v>
      </c>
      <c r="G10" s="59">
        <v>32132219</v>
      </c>
      <c r="H10" s="58" t="s">
        <v>1871</v>
      </c>
      <c r="I10" s="59">
        <v>5680</v>
      </c>
      <c r="J10" s="58" t="s">
        <v>1872</v>
      </c>
      <c r="K10" s="59">
        <v>5450</v>
      </c>
      <c r="L10" s="59">
        <v>6200</v>
      </c>
      <c r="M10" s="59">
        <v>5170</v>
      </c>
      <c r="N10" s="59">
        <v>68260768</v>
      </c>
      <c r="O10" s="58" t="s">
        <v>1857</v>
      </c>
      <c r="P10" s="59">
        <v>4160</v>
      </c>
      <c r="Q10" s="58" t="s">
        <v>1858</v>
      </c>
      <c r="R10" s="59">
        <v>4175</v>
      </c>
      <c r="S10" s="59">
        <v>4250</v>
      </c>
      <c r="T10" s="59">
        <v>4110</v>
      </c>
      <c r="U10" s="59">
        <v>2838270</v>
      </c>
      <c r="V10" s="58" t="s">
        <v>1841</v>
      </c>
      <c r="W10" s="59">
        <v>4570</v>
      </c>
      <c r="X10" s="58" t="s">
        <v>1842</v>
      </c>
      <c r="Y10" s="59">
        <v>4460</v>
      </c>
      <c r="Z10" s="59">
        <v>4700</v>
      </c>
      <c r="AA10" s="59">
        <v>4390</v>
      </c>
      <c r="AB10" s="59">
        <v>6006249</v>
      </c>
      <c r="AC10" s="58" t="s">
        <v>1827</v>
      </c>
      <c r="AD10" s="59">
        <v>5210</v>
      </c>
      <c r="AE10" s="58" t="s">
        <v>1828</v>
      </c>
      <c r="AF10" s="59">
        <v>5400</v>
      </c>
      <c r="AG10" s="59">
        <v>5530</v>
      </c>
      <c r="AH10" s="59">
        <v>5200</v>
      </c>
      <c r="AI10" s="59">
        <v>20754467</v>
      </c>
      <c r="AJ10" s="58" t="s">
        <v>1569</v>
      </c>
      <c r="AK10" s="59">
        <v>5370</v>
      </c>
      <c r="AL10" s="58" t="s">
        <v>1811</v>
      </c>
      <c r="AM10" s="59">
        <v>5440</v>
      </c>
      <c r="AN10" s="59">
        <v>5620</v>
      </c>
      <c r="AO10" s="59">
        <v>5330</v>
      </c>
      <c r="AP10" s="59">
        <v>10105464</v>
      </c>
      <c r="AQ10" s="58" t="s">
        <v>1533</v>
      </c>
      <c r="AR10" s="59">
        <v>5130</v>
      </c>
      <c r="AS10" s="58" t="s">
        <v>1800</v>
      </c>
      <c r="AT10" s="59">
        <v>5340</v>
      </c>
      <c r="AU10" s="59">
        <v>5340</v>
      </c>
      <c r="AV10" s="59">
        <v>5060</v>
      </c>
      <c r="AW10" s="59">
        <v>5940156</v>
      </c>
      <c r="AX10" s="58" t="s">
        <v>1072</v>
      </c>
      <c r="AY10" s="59">
        <v>5190</v>
      </c>
      <c r="AZ10" s="58">
        <v>0</v>
      </c>
      <c r="BA10" s="59">
        <v>5250</v>
      </c>
      <c r="BB10" s="59">
        <v>5300</v>
      </c>
      <c r="BC10" s="59">
        <v>5110</v>
      </c>
      <c r="BD10" s="59">
        <v>12011560</v>
      </c>
      <c r="BE10" s="58" t="s">
        <v>1020</v>
      </c>
      <c r="BF10" s="59">
        <v>4640</v>
      </c>
      <c r="BG10" s="58" t="s">
        <v>1782</v>
      </c>
      <c r="BH10" s="59">
        <v>4730</v>
      </c>
      <c r="BI10" s="59">
        <v>4775</v>
      </c>
      <c r="BJ10" s="59">
        <v>4500</v>
      </c>
      <c r="BK10" s="59">
        <v>40776553</v>
      </c>
      <c r="BL10" s="58" t="s">
        <v>1009</v>
      </c>
      <c r="BM10" s="59">
        <v>3280</v>
      </c>
      <c r="BN10" s="58" t="s">
        <v>1774</v>
      </c>
      <c r="BO10" s="59">
        <v>3470</v>
      </c>
      <c r="BP10" s="59">
        <v>3730</v>
      </c>
      <c r="BQ10" s="59">
        <v>3155</v>
      </c>
      <c r="BR10" s="59">
        <v>68691266</v>
      </c>
    </row>
    <row r="11" spans="1:70" x14ac:dyDescent="0.3">
      <c r="A11" s="58" t="s">
        <v>1889</v>
      </c>
      <c r="B11" s="59">
        <v>4725</v>
      </c>
      <c r="C11" s="58" t="s">
        <v>1801</v>
      </c>
      <c r="D11" s="59">
        <v>4720</v>
      </c>
      <c r="E11" s="59">
        <v>4885</v>
      </c>
      <c r="F11" s="59">
        <v>4720</v>
      </c>
      <c r="G11" s="59">
        <v>2992187</v>
      </c>
      <c r="H11" s="58" t="s">
        <v>1873</v>
      </c>
      <c r="I11" s="59">
        <v>5150</v>
      </c>
      <c r="J11" s="58" t="s">
        <v>1874</v>
      </c>
      <c r="K11" s="59">
        <v>5280</v>
      </c>
      <c r="L11" s="59">
        <v>5370</v>
      </c>
      <c r="M11" s="59">
        <v>5030</v>
      </c>
      <c r="N11" s="59">
        <v>9607690</v>
      </c>
      <c r="O11" s="58" t="s">
        <v>1859</v>
      </c>
      <c r="P11" s="59">
        <v>4135</v>
      </c>
      <c r="Q11" s="58" t="s">
        <v>1778</v>
      </c>
      <c r="R11" s="59">
        <v>4115</v>
      </c>
      <c r="S11" s="59">
        <v>4160</v>
      </c>
      <c r="T11" s="59">
        <v>4055</v>
      </c>
      <c r="U11" s="59">
        <v>1829722</v>
      </c>
      <c r="V11" s="58" t="s">
        <v>1843</v>
      </c>
      <c r="W11" s="59">
        <v>4435</v>
      </c>
      <c r="X11" s="58" t="s">
        <v>1807</v>
      </c>
      <c r="Y11" s="59">
        <v>4430</v>
      </c>
      <c r="Z11" s="59">
        <v>4510</v>
      </c>
      <c r="AA11" s="59">
        <v>4410</v>
      </c>
      <c r="AB11" s="59">
        <v>2600638</v>
      </c>
      <c r="AC11" s="58" t="s">
        <v>1829</v>
      </c>
      <c r="AD11" s="59">
        <v>5240</v>
      </c>
      <c r="AE11" s="58" t="s">
        <v>1598</v>
      </c>
      <c r="AF11" s="59">
        <v>5010</v>
      </c>
      <c r="AG11" s="59">
        <v>5420</v>
      </c>
      <c r="AH11" s="59">
        <v>4950</v>
      </c>
      <c r="AI11" s="59">
        <v>34410439</v>
      </c>
      <c r="AJ11" s="58" t="s">
        <v>1542</v>
      </c>
      <c r="AK11" s="59">
        <v>5380</v>
      </c>
      <c r="AL11" s="58" t="s">
        <v>1812</v>
      </c>
      <c r="AM11" s="59">
        <v>5710</v>
      </c>
      <c r="AN11" s="59">
        <v>5880</v>
      </c>
      <c r="AO11" s="59">
        <v>5290</v>
      </c>
      <c r="AP11" s="59">
        <v>23480146</v>
      </c>
      <c r="AQ11" s="58" t="s">
        <v>1520</v>
      </c>
      <c r="AR11" s="59">
        <v>5340</v>
      </c>
      <c r="AS11" s="58" t="s">
        <v>1801</v>
      </c>
      <c r="AT11" s="59">
        <v>5350</v>
      </c>
      <c r="AU11" s="59">
        <v>5430</v>
      </c>
      <c r="AV11" s="59">
        <v>5240</v>
      </c>
      <c r="AW11" s="59">
        <v>5494170</v>
      </c>
      <c r="AX11" s="58" t="s">
        <v>1073</v>
      </c>
      <c r="AY11" s="59">
        <v>5190</v>
      </c>
      <c r="AZ11" s="58" t="s">
        <v>1791</v>
      </c>
      <c r="BA11" s="59">
        <v>5220</v>
      </c>
      <c r="BB11" s="59">
        <v>5250</v>
      </c>
      <c r="BC11" s="59">
        <v>4965</v>
      </c>
      <c r="BD11" s="59">
        <v>17894755</v>
      </c>
      <c r="BE11" s="58" t="s">
        <v>1021</v>
      </c>
      <c r="BF11" s="59">
        <v>4720</v>
      </c>
      <c r="BG11" s="58" t="s">
        <v>1783</v>
      </c>
      <c r="BH11" s="59">
        <v>4070</v>
      </c>
      <c r="BI11" s="59">
        <v>4895</v>
      </c>
      <c r="BJ11" s="59">
        <v>4070</v>
      </c>
      <c r="BK11" s="59">
        <v>122952718</v>
      </c>
      <c r="BL11" s="58" t="s">
        <v>924</v>
      </c>
      <c r="BM11" s="59">
        <v>3420</v>
      </c>
      <c r="BN11" s="58" t="s">
        <v>1775</v>
      </c>
      <c r="BO11" s="59">
        <v>4025</v>
      </c>
      <c r="BP11" s="59">
        <v>4070</v>
      </c>
      <c r="BQ11" s="59">
        <v>3310</v>
      </c>
      <c r="BR11" s="59">
        <v>81223291</v>
      </c>
    </row>
    <row r="12" spans="1:70" x14ac:dyDescent="0.3">
      <c r="A12" s="58" t="s">
        <v>1890</v>
      </c>
      <c r="B12" s="59">
        <v>4665</v>
      </c>
      <c r="C12" s="58" t="s">
        <v>1835</v>
      </c>
      <c r="D12" s="59">
        <v>4695</v>
      </c>
      <c r="E12" s="59">
        <v>4705</v>
      </c>
      <c r="F12" s="59">
        <v>4585</v>
      </c>
      <c r="G12" s="59">
        <v>1603962</v>
      </c>
      <c r="H12" s="58" t="s">
        <v>1875</v>
      </c>
      <c r="I12" s="59">
        <v>5280</v>
      </c>
      <c r="J12" s="58" t="s">
        <v>1876</v>
      </c>
      <c r="K12" s="59">
        <v>5430</v>
      </c>
      <c r="L12" s="59">
        <v>5970</v>
      </c>
      <c r="M12" s="59">
        <v>5250</v>
      </c>
      <c r="N12" s="59">
        <v>45477769</v>
      </c>
      <c r="O12" s="58" t="s">
        <v>1860</v>
      </c>
      <c r="P12" s="59">
        <v>4050</v>
      </c>
      <c r="Q12" s="58" t="s">
        <v>1858</v>
      </c>
      <c r="R12" s="59">
        <v>4025</v>
      </c>
      <c r="S12" s="59">
        <v>4110</v>
      </c>
      <c r="T12" s="59">
        <v>4000</v>
      </c>
      <c r="U12" s="59">
        <v>1528822</v>
      </c>
      <c r="V12" s="58" t="s">
        <v>1844</v>
      </c>
      <c r="W12" s="59">
        <v>4420</v>
      </c>
      <c r="X12" s="58" t="s">
        <v>1811</v>
      </c>
      <c r="Y12" s="59">
        <v>4430</v>
      </c>
      <c r="Z12" s="59">
        <v>4525</v>
      </c>
      <c r="AA12" s="59">
        <v>4360</v>
      </c>
      <c r="AB12" s="59">
        <v>3245432</v>
      </c>
      <c r="AC12" s="58" t="s">
        <v>1830</v>
      </c>
      <c r="AD12" s="59">
        <v>4890</v>
      </c>
      <c r="AE12" s="58" t="s">
        <v>1599</v>
      </c>
      <c r="AF12" s="59">
        <v>5040</v>
      </c>
      <c r="AG12" s="59">
        <v>5040</v>
      </c>
      <c r="AH12" s="59">
        <v>4850</v>
      </c>
      <c r="AI12" s="59">
        <v>5861613</v>
      </c>
      <c r="AJ12" s="58" t="s">
        <v>1543</v>
      </c>
      <c r="AK12" s="59">
        <v>5550</v>
      </c>
      <c r="AL12" s="58" t="s">
        <v>1813</v>
      </c>
      <c r="AM12" s="59">
        <v>5840</v>
      </c>
      <c r="AN12" s="59">
        <v>6070</v>
      </c>
      <c r="AO12" s="59">
        <v>5440</v>
      </c>
      <c r="AP12" s="59">
        <v>68618541</v>
      </c>
      <c r="AQ12" s="58" t="s">
        <v>1513</v>
      </c>
      <c r="AR12" s="59">
        <v>5280</v>
      </c>
      <c r="AS12" s="58" t="s">
        <v>1802</v>
      </c>
      <c r="AT12" s="59">
        <v>5480</v>
      </c>
      <c r="AU12" s="59">
        <v>5530</v>
      </c>
      <c r="AV12" s="59">
        <v>5280</v>
      </c>
      <c r="AW12" s="59">
        <v>6654793</v>
      </c>
      <c r="AX12" s="58" t="s">
        <v>1058</v>
      </c>
      <c r="AY12" s="59">
        <v>5300</v>
      </c>
      <c r="AZ12" s="58" t="s">
        <v>1792</v>
      </c>
      <c r="BA12" s="59">
        <v>5190</v>
      </c>
      <c r="BB12" s="59">
        <v>5690</v>
      </c>
      <c r="BC12" s="59">
        <v>5080</v>
      </c>
      <c r="BD12" s="59">
        <v>89383226</v>
      </c>
      <c r="BE12" s="58" t="s">
        <v>1022</v>
      </c>
      <c r="BF12" s="59">
        <v>3810</v>
      </c>
      <c r="BG12" s="58" t="s">
        <v>1784</v>
      </c>
      <c r="BH12" s="59">
        <v>3465</v>
      </c>
      <c r="BI12" s="59">
        <v>3925</v>
      </c>
      <c r="BJ12" s="59">
        <v>3400</v>
      </c>
      <c r="BK12" s="59">
        <v>53729701</v>
      </c>
      <c r="BL12" s="58" t="s">
        <v>925</v>
      </c>
      <c r="BM12" s="59">
        <v>3850</v>
      </c>
      <c r="BN12" s="58">
        <v>885</v>
      </c>
      <c r="BO12" s="59">
        <v>3260</v>
      </c>
      <c r="BP12" s="59">
        <v>3850</v>
      </c>
      <c r="BQ12" s="59">
        <v>3200</v>
      </c>
      <c r="BR12" s="59">
        <v>74934158</v>
      </c>
    </row>
    <row r="13" spans="1:70" s="58" customFormat="1" x14ac:dyDescent="0.3">
      <c r="B13" s="59"/>
      <c r="D13" s="59"/>
      <c r="E13" s="59"/>
      <c r="F13" s="59"/>
      <c r="G13" s="59"/>
      <c r="I13" s="59"/>
      <c r="K13" s="59"/>
      <c r="L13" s="59"/>
      <c r="M13" s="59"/>
      <c r="N13" s="59"/>
      <c r="P13" s="59"/>
      <c r="R13" s="59"/>
      <c r="S13" s="59"/>
      <c r="T13" s="59"/>
      <c r="U13" s="59"/>
      <c r="W13" s="59"/>
      <c r="Y13" s="59"/>
      <c r="Z13" s="59"/>
      <c r="AA13" s="59"/>
      <c r="AB13" s="59"/>
      <c r="AD13" s="59"/>
      <c r="AF13" s="59"/>
      <c r="AG13" s="59"/>
      <c r="AH13" s="59"/>
      <c r="AI13" s="59"/>
      <c r="AK13" s="59"/>
      <c r="AM13" s="59"/>
      <c r="AN13" s="59"/>
      <c r="AO13" s="59"/>
      <c r="AP13" s="59"/>
      <c r="AR13" s="59"/>
      <c r="AT13" s="59"/>
      <c r="AU13" s="59"/>
      <c r="AV13" s="59"/>
      <c r="AW13" s="59"/>
      <c r="AY13" s="59"/>
      <c r="BA13" s="59"/>
      <c r="BB13" s="59"/>
      <c r="BC13" s="59"/>
      <c r="BD13" s="59"/>
      <c r="BF13" s="59"/>
      <c r="BH13" s="59"/>
      <c r="BI13" s="59"/>
      <c r="BJ13" s="59"/>
      <c r="BK13" s="59"/>
      <c r="BM13" s="59"/>
      <c r="BO13" s="59"/>
      <c r="BP13" s="59"/>
      <c r="BQ13" s="59"/>
      <c r="BR13" s="59"/>
    </row>
    <row r="14" spans="1:70" s="58" customFormat="1" x14ac:dyDescent="0.3">
      <c r="B14" s="59"/>
      <c r="D14" s="59"/>
      <c r="E14" s="59"/>
      <c r="F14" s="59"/>
      <c r="G14" s="59"/>
      <c r="I14" s="59"/>
      <c r="K14" s="59"/>
      <c r="L14" s="59"/>
      <c r="M14" s="59"/>
      <c r="N14" s="59"/>
      <c r="P14" s="59"/>
      <c r="R14" s="59"/>
      <c r="S14" s="59"/>
      <c r="T14" s="59"/>
      <c r="U14" s="59"/>
      <c r="W14" s="59"/>
      <c r="Y14" s="59"/>
      <c r="Z14" s="59"/>
      <c r="AA14" s="59"/>
      <c r="AB14" s="59"/>
      <c r="AD14" s="59"/>
      <c r="AF14" s="59"/>
      <c r="AG14" s="59"/>
      <c r="AH14" s="59"/>
      <c r="AI14" s="59"/>
      <c r="AK14" s="59"/>
      <c r="AM14" s="59"/>
      <c r="AN14" s="59"/>
      <c r="AO14" s="59"/>
      <c r="AP14" s="59"/>
      <c r="AR14" s="59"/>
      <c r="AT14" s="59"/>
      <c r="AU14" s="59"/>
      <c r="AV14" s="59"/>
      <c r="AW14" s="59"/>
      <c r="AY14" s="59"/>
      <c r="BA14" s="59"/>
      <c r="BB14" s="59"/>
      <c r="BC14" s="59"/>
      <c r="BD14" s="59"/>
      <c r="BF14" s="59"/>
      <c r="BH14" s="59"/>
      <c r="BI14" s="59"/>
      <c r="BJ14" s="59"/>
      <c r="BK14" s="59"/>
      <c r="BM14" s="59"/>
      <c r="BO14" s="59"/>
      <c r="BP14" s="59"/>
      <c r="BQ14" s="59"/>
      <c r="BR14" s="59"/>
    </row>
    <row r="15" spans="1:70" x14ac:dyDescent="0.3">
      <c r="A15" s="58">
        <v>1</v>
      </c>
      <c r="B15" s="58">
        <v>2</v>
      </c>
      <c r="C15" s="58">
        <v>3</v>
      </c>
      <c r="D15" s="58">
        <v>4</v>
      </c>
      <c r="E15" s="58">
        <v>5</v>
      </c>
      <c r="F15" s="58">
        <v>6</v>
      </c>
      <c r="G15" s="58">
        <v>7</v>
      </c>
      <c r="H15" s="58" t="s">
        <v>7</v>
      </c>
      <c r="I15" s="58">
        <v>1</v>
      </c>
      <c r="J15" s="58">
        <v>2</v>
      </c>
      <c r="K15" s="58">
        <v>3</v>
      </c>
      <c r="L15" s="58">
        <v>4</v>
      </c>
      <c r="M15" s="58">
        <v>5</v>
      </c>
      <c r="N15" s="58">
        <v>6</v>
      </c>
      <c r="O15" s="58" t="s">
        <v>7</v>
      </c>
      <c r="P15" s="58">
        <v>1</v>
      </c>
      <c r="Q15" s="58">
        <v>2</v>
      </c>
      <c r="R15" s="58">
        <v>3</v>
      </c>
      <c r="S15" s="58">
        <v>4</v>
      </c>
      <c r="T15" s="58">
        <v>5</v>
      </c>
      <c r="U15" s="58">
        <v>6</v>
      </c>
      <c r="V15" s="58" t="s">
        <v>7</v>
      </c>
      <c r="W15" s="58">
        <v>1</v>
      </c>
      <c r="X15" s="58">
        <v>2</v>
      </c>
      <c r="Y15" s="58">
        <v>3</v>
      </c>
      <c r="Z15" s="58">
        <v>4</v>
      </c>
      <c r="AA15" s="58">
        <v>5</v>
      </c>
      <c r="AB15" s="58">
        <v>6</v>
      </c>
      <c r="AC15" s="58" t="s">
        <v>7</v>
      </c>
      <c r="AD15" s="58">
        <v>1</v>
      </c>
      <c r="AE15" s="58">
        <v>2</v>
      </c>
      <c r="AF15" s="58">
        <v>3</v>
      </c>
      <c r="AG15" s="58">
        <v>4</v>
      </c>
      <c r="AH15" s="58">
        <v>5</v>
      </c>
      <c r="AI15" s="58">
        <v>6</v>
      </c>
      <c r="AJ15" s="58" t="s">
        <v>7</v>
      </c>
      <c r="AK15" s="58">
        <v>1</v>
      </c>
      <c r="AL15" s="58">
        <v>2</v>
      </c>
      <c r="AM15" s="58">
        <v>3</v>
      </c>
      <c r="AN15" s="58">
        <v>4</v>
      </c>
      <c r="AO15" s="58">
        <v>5</v>
      </c>
      <c r="AP15" s="58">
        <v>6</v>
      </c>
      <c r="AQ15" s="58" t="s">
        <v>7</v>
      </c>
      <c r="AR15" s="58">
        <v>1</v>
      </c>
      <c r="AS15" s="58">
        <v>2</v>
      </c>
      <c r="AT15" s="58">
        <v>3</v>
      </c>
      <c r="AU15" s="58">
        <v>4</v>
      </c>
      <c r="AV15" s="58">
        <v>5</v>
      </c>
      <c r="AW15" s="58">
        <v>6</v>
      </c>
      <c r="AX15" s="58" t="s">
        <v>7</v>
      </c>
      <c r="AY15" s="58">
        <v>1</v>
      </c>
      <c r="AZ15" s="58">
        <v>2</v>
      </c>
      <c r="BA15" s="58">
        <v>3</v>
      </c>
      <c r="BB15" s="58">
        <v>4</v>
      </c>
      <c r="BC15" s="58">
        <v>5</v>
      </c>
      <c r="BD15" s="58">
        <v>6</v>
      </c>
      <c r="BE15" s="58" t="s">
        <v>7</v>
      </c>
      <c r="BF15" s="58">
        <v>1</v>
      </c>
      <c r="BG15" s="58">
        <v>2</v>
      </c>
      <c r="BH15" s="58">
        <v>3</v>
      </c>
      <c r="BI15" s="58">
        <v>4</v>
      </c>
      <c r="BJ15" s="58">
        <v>5</v>
      </c>
      <c r="BK15" s="58">
        <v>6</v>
      </c>
      <c r="BL15" s="58" t="s">
        <v>7</v>
      </c>
      <c r="BM15" s="58">
        <v>1</v>
      </c>
      <c r="BN15" s="58">
        <v>2</v>
      </c>
      <c r="BO15" s="58">
        <v>3</v>
      </c>
      <c r="BP15" s="58">
        <v>4</v>
      </c>
      <c r="BQ15" s="58">
        <v>5</v>
      </c>
      <c r="BR15" s="58">
        <v>6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2140C-249F-4217-BC50-505F0ED376FD}">
  <sheetPr codeName="Sheet3"/>
  <dimension ref="A1:B304"/>
  <sheetViews>
    <sheetView zoomScale="70" zoomScaleNormal="70" workbookViewId="0">
      <pane ySplit="3" topLeftCell="A10" activePane="bottomLeft" state="frozen"/>
      <selection pane="bottomLeft" activeCell="A4" sqref="A4:B304"/>
    </sheetView>
  </sheetViews>
  <sheetFormatPr defaultRowHeight="16.5" x14ac:dyDescent="0.3"/>
  <cols>
    <col min="1" max="2" width="12.375" bestFit="1" customWidth="1"/>
  </cols>
  <sheetData>
    <row r="1" spans="1:2" x14ac:dyDescent="0.3">
      <c r="A1" s="65" t="s">
        <v>1059</v>
      </c>
      <c r="B1" s="67" t="s">
        <v>1060</v>
      </c>
    </row>
    <row r="2" spans="1:2" ht="17.25" thickBot="1" x14ac:dyDescent="0.35">
      <c r="A2" s="62">
        <v>0.97070000000000001</v>
      </c>
      <c r="B2" s="68">
        <v>9.0899999999999995E-2</v>
      </c>
    </row>
    <row r="3" spans="1:2" ht="17.25" thickBot="1" x14ac:dyDescent="0.35"/>
    <row r="4" spans="1:2" x14ac:dyDescent="0.3">
      <c r="A4" s="65" t="s">
        <v>0</v>
      </c>
      <c r="B4" s="67" t="s">
        <v>1504</v>
      </c>
    </row>
    <row r="5" spans="1:2" x14ac:dyDescent="0.3">
      <c r="A5" s="61" t="s">
        <v>1204</v>
      </c>
      <c r="B5" s="64">
        <v>6851.0201750406814</v>
      </c>
    </row>
    <row r="6" spans="1:2" x14ac:dyDescent="0.3">
      <c r="A6" s="61" t="s">
        <v>1205</v>
      </c>
      <c r="B6" s="64">
        <v>6774.7903670886344</v>
      </c>
    </row>
    <row r="7" spans="1:2" x14ac:dyDescent="0.3">
      <c r="A7" s="61" t="s">
        <v>1206</v>
      </c>
      <c r="B7" s="64">
        <v>6728.5391442565797</v>
      </c>
    </row>
    <row r="8" spans="1:2" x14ac:dyDescent="0.3">
      <c r="A8" s="61" t="s">
        <v>1207</v>
      </c>
      <c r="B8" s="64">
        <v>7146.9029846741341</v>
      </c>
    </row>
    <row r="9" spans="1:2" x14ac:dyDescent="0.3">
      <c r="A9" s="61" t="s">
        <v>1208</v>
      </c>
      <c r="B9" s="64">
        <v>6451.8195324002691</v>
      </c>
    </row>
    <row r="10" spans="1:2" x14ac:dyDescent="0.3">
      <c r="A10" s="61" t="s">
        <v>1209</v>
      </c>
      <c r="B10" s="64">
        <v>6750.5983355279595</v>
      </c>
    </row>
    <row r="11" spans="1:2" x14ac:dyDescent="0.3">
      <c r="A11" s="61" t="s">
        <v>1210</v>
      </c>
      <c r="B11" s="64">
        <v>6848.7433271519749</v>
      </c>
    </row>
    <row r="12" spans="1:2" x14ac:dyDescent="0.3">
      <c r="A12" s="61" t="s">
        <v>1211</v>
      </c>
      <c r="B12" s="64">
        <v>6619.7395132848369</v>
      </c>
    </row>
    <row r="13" spans="1:2" x14ac:dyDescent="0.3">
      <c r="A13" s="61" t="s">
        <v>1212</v>
      </c>
      <c r="B13" s="64">
        <v>6733.4815462250181</v>
      </c>
    </row>
    <row r="14" spans="1:2" x14ac:dyDescent="0.3">
      <c r="A14" s="61" t="s">
        <v>1213</v>
      </c>
      <c r="B14" s="64">
        <v>6669.3866674464825</v>
      </c>
    </row>
    <row r="15" spans="1:2" x14ac:dyDescent="0.3">
      <c r="A15" s="61" t="s">
        <v>1214</v>
      </c>
      <c r="B15" s="64">
        <v>6169.3257300923078</v>
      </c>
    </row>
    <row r="16" spans="1:2" x14ac:dyDescent="0.3">
      <c r="A16" s="61" t="s">
        <v>1215</v>
      </c>
      <c r="B16" s="64">
        <v>6413.0128695507956</v>
      </c>
    </row>
    <row r="17" spans="1:2" x14ac:dyDescent="0.3">
      <c r="A17" s="61" t="s">
        <v>1216</v>
      </c>
      <c r="B17" s="64">
        <v>7142.3792156763338</v>
      </c>
    </row>
    <row r="18" spans="1:2" x14ac:dyDescent="0.3">
      <c r="A18" s="61" t="s">
        <v>1217</v>
      </c>
      <c r="B18" s="64">
        <v>6840.6658067445514</v>
      </c>
    </row>
    <row r="19" spans="1:2" x14ac:dyDescent="0.3">
      <c r="A19" s="61" t="s">
        <v>1218</v>
      </c>
      <c r="B19" s="64">
        <v>7141.1831070296757</v>
      </c>
    </row>
    <row r="20" spans="1:2" x14ac:dyDescent="0.3">
      <c r="A20" s="61" t="s">
        <v>1219</v>
      </c>
      <c r="B20" s="64">
        <v>7009.2042717942295</v>
      </c>
    </row>
    <row r="21" spans="1:2" x14ac:dyDescent="0.3">
      <c r="A21" s="61" t="s">
        <v>1220</v>
      </c>
      <c r="B21" s="64">
        <v>6698.0676955851304</v>
      </c>
    </row>
    <row r="22" spans="1:2" x14ac:dyDescent="0.3">
      <c r="A22" s="61" t="s">
        <v>1221</v>
      </c>
      <c r="B22" s="64">
        <v>6588.1056003550229</v>
      </c>
    </row>
    <row r="23" spans="1:2" x14ac:dyDescent="0.3">
      <c r="A23" s="61" t="s">
        <v>1222</v>
      </c>
      <c r="B23" s="64">
        <v>6822.9302874415025</v>
      </c>
    </row>
    <row r="24" spans="1:2" x14ac:dyDescent="0.3">
      <c r="A24" s="61" t="s">
        <v>1223</v>
      </c>
      <c r="B24" s="64">
        <v>6782.4365355765531</v>
      </c>
    </row>
    <row r="25" spans="1:2" x14ac:dyDescent="0.3">
      <c r="A25" s="61" t="s">
        <v>1224</v>
      </c>
      <c r="B25" s="64">
        <v>6934.3214369115285</v>
      </c>
    </row>
    <row r="26" spans="1:2" x14ac:dyDescent="0.3">
      <c r="A26" s="61" t="s">
        <v>1225</v>
      </c>
      <c r="B26" s="64">
        <v>6687.2149956614358</v>
      </c>
    </row>
    <row r="27" spans="1:2" x14ac:dyDescent="0.3">
      <c r="A27" s="61" t="s">
        <v>1226</v>
      </c>
      <c r="B27" s="64">
        <v>6582.2010484391067</v>
      </c>
    </row>
    <row r="28" spans="1:2" x14ac:dyDescent="0.3">
      <c r="A28" s="61" t="s">
        <v>1227</v>
      </c>
      <c r="B28" s="64">
        <v>6146.8554834438319</v>
      </c>
    </row>
    <row r="29" spans="1:2" x14ac:dyDescent="0.3">
      <c r="A29" s="61" t="s">
        <v>1228</v>
      </c>
      <c r="B29" s="64">
        <v>6449.180939654646</v>
      </c>
    </row>
    <row r="30" spans="1:2" x14ac:dyDescent="0.3">
      <c r="A30" s="61" t="s">
        <v>1229</v>
      </c>
      <c r="B30" s="64">
        <v>6308.7100495787408</v>
      </c>
    </row>
    <row r="31" spans="1:2" x14ac:dyDescent="0.3">
      <c r="A31" s="61" t="s">
        <v>1230</v>
      </c>
      <c r="B31" s="64">
        <v>6399.92530648927</v>
      </c>
    </row>
    <row r="32" spans="1:2" x14ac:dyDescent="0.3">
      <c r="A32" s="61" t="s">
        <v>1231</v>
      </c>
      <c r="B32" s="64">
        <v>6680.3196627281686</v>
      </c>
    </row>
    <row r="33" spans="1:2" x14ac:dyDescent="0.3">
      <c r="A33" s="61" t="s">
        <v>1232</v>
      </c>
      <c r="B33" s="64">
        <v>6787.6723749340244</v>
      </c>
    </row>
    <row r="34" spans="1:2" x14ac:dyDescent="0.3">
      <c r="A34" s="61" t="s">
        <v>1233</v>
      </c>
      <c r="B34" s="64">
        <v>6752.3530380177908</v>
      </c>
    </row>
    <row r="35" spans="1:2" x14ac:dyDescent="0.3">
      <c r="A35" s="61" t="s">
        <v>1234</v>
      </c>
      <c r="B35" s="64">
        <v>7053.114694827208</v>
      </c>
    </row>
    <row r="36" spans="1:2" x14ac:dyDescent="0.3">
      <c r="A36" s="61" t="s">
        <v>1235</v>
      </c>
      <c r="B36" s="64">
        <v>7326.2220984239548</v>
      </c>
    </row>
    <row r="37" spans="1:2" x14ac:dyDescent="0.3">
      <c r="A37" s="61" t="s">
        <v>1236</v>
      </c>
      <c r="B37" s="64">
        <v>7388.6073886540289</v>
      </c>
    </row>
    <row r="38" spans="1:2" x14ac:dyDescent="0.3">
      <c r="A38" s="61" t="s">
        <v>1237</v>
      </c>
      <c r="B38" s="64">
        <v>7294.9132125894248</v>
      </c>
    </row>
    <row r="39" spans="1:2" x14ac:dyDescent="0.3">
      <c r="A39" s="61" t="s">
        <v>1238</v>
      </c>
      <c r="B39" s="64">
        <v>6838.6060615097667</v>
      </c>
    </row>
    <row r="40" spans="1:2" x14ac:dyDescent="0.3">
      <c r="A40" s="61" t="s">
        <v>1239</v>
      </c>
      <c r="B40" s="64">
        <v>6678.6653447615081</v>
      </c>
    </row>
    <row r="41" spans="1:2" x14ac:dyDescent="0.3">
      <c r="A41" s="61" t="s">
        <v>1240</v>
      </c>
      <c r="B41" s="64">
        <v>6333.7329277770696</v>
      </c>
    </row>
    <row r="42" spans="1:2" x14ac:dyDescent="0.3">
      <c r="A42" s="61" t="s">
        <v>1241</v>
      </c>
      <c r="B42" s="64">
        <v>7449.1024327203986</v>
      </c>
    </row>
    <row r="43" spans="1:2" x14ac:dyDescent="0.3">
      <c r="A43" s="61" t="s">
        <v>1242</v>
      </c>
      <c r="B43" s="64">
        <v>7541.4337235398471</v>
      </c>
    </row>
    <row r="44" spans="1:2" x14ac:dyDescent="0.3">
      <c r="A44" s="61" t="s">
        <v>1243</v>
      </c>
      <c r="B44" s="64">
        <v>8010.4143431574221</v>
      </c>
    </row>
    <row r="45" spans="1:2" x14ac:dyDescent="0.3">
      <c r="A45" s="61" t="s">
        <v>1244</v>
      </c>
      <c r="B45" s="64">
        <v>7378.9112621634767</v>
      </c>
    </row>
    <row r="46" spans="1:2" x14ac:dyDescent="0.3">
      <c r="A46" s="61" t="s">
        <v>1245</v>
      </c>
      <c r="B46" s="64">
        <v>7727.0606755525332</v>
      </c>
    </row>
    <row r="47" spans="1:2" x14ac:dyDescent="0.3">
      <c r="A47" s="61" t="s">
        <v>1246</v>
      </c>
      <c r="B47" s="64">
        <v>7691.3749160152393</v>
      </c>
    </row>
    <row r="48" spans="1:2" x14ac:dyDescent="0.3">
      <c r="A48" s="61" t="s">
        <v>1247</v>
      </c>
      <c r="B48" s="64">
        <v>7154.404090535294</v>
      </c>
    </row>
    <row r="49" spans="1:2" x14ac:dyDescent="0.3">
      <c r="A49" s="61" t="s">
        <v>1248</v>
      </c>
      <c r="B49" s="64">
        <v>7065.8351857266525</v>
      </c>
    </row>
    <row r="50" spans="1:2" x14ac:dyDescent="0.3">
      <c r="A50" s="61" t="s">
        <v>1249</v>
      </c>
      <c r="B50" s="64">
        <v>7689.3308249411148</v>
      </c>
    </row>
    <row r="51" spans="1:2" x14ac:dyDescent="0.3">
      <c r="A51" s="61" t="s">
        <v>1250</v>
      </c>
      <c r="B51" s="64">
        <v>7411.3186522241931</v>
      </c>
    </row>
    <row r="52" spans="1:2" x14ac:dyDescent="0.3">
      <c r="A52" s="61" t="s">
        <v>1251</v>
      </c>
      <c r="B52" s="64">
        <v>6899.9801071184138</v>
      </c>
    </row>
    <row r="53" spans="1:2" x14ac:dyDescent="0.3">
      <c r="A53" s="61" t="s">
        <v>1252</v>
      </c>
      <c r="B53" s="64">
        <v>7044.2357029448858</v>
      </c>
    </row>
    <row r="54" spans="1:2" x14ac:dyDescent="0.3">
      <c r="A54" s="61" t="s">
        <v>1253</v>
      </c>
      <c r="B54" s="64">
        <v>6718.1041158036023</v>
      </c>
    </row>
    <row r="55" spans="1:2" x14ac:dyDescent="0.3">
      <c r="A55" s="61" t="s">
        <v>1254</v>
      </c>
      <c r="B55" s="64">
        <v>6226.442758689479</v>
      </c>
    </row>
    <row r="56" spans="1:2" x14ac:dyDescent="0.3">
      <c r="A56" s="61" t="s">
        <v>1255</v>
      </c>
      <c r="B56" s="64">
        <v>6501.8140904963602</v>
      </c>
    </row>
    <row r="57" spans="1:2" x14ac:dyDescent="0.3">
      <c r="A57" s="61" t="s">
        <v>1256</v>
      </c>
      <c r="B57" s="64">
        <v>6235.4486819389213</v>
      </c>
    </row>
    <row r="58" spans="1:2" x14ac:dyDescent="0.3">
      <c r="A58" s="61" t="s">
        <v>1257</v>
      </c>
      <c r="B58" s="64">
        <v>5755.9892090682933</v>
      </c>
    </row>
    <row r="59" spans="1:2" x14ac:dyDescent="0.3">
      <c r="A59" s="61" t="s">
        <v>1258</v>
      </c>
      <c r="B59" s="64">
        <v>6011.4847437737171</v>
      </c>
    </row>
    <row r="60" spans="1:2" x14ac:dyDescent="0.3">
      <c r="A60" s="61" t="s">
        <v>1259</v>
      </c>
      <c r="B60" s="64">
        <v>6011.2483717065961</v>
      </c>
    </row>
    <row r="61" spans="1:2" x14ac:dyDescent="0.3">
      <c r="A61" s="61" t="s">
        <v>1260</v>
      </c>
      <c r="B61" s="64">
        <v>5294.4666382470696</v>
      </c>
    </row>
    <row r="62" spans="1:2" x14ac:dyDescent="0.3">
      <c r="A62" s="61" t="s">
        <v>1261</v>
      </c>
      <c r="B62" s="64">
        <v>4840.270927578651</v>
      </c>
    </row>
    <row r="63" spans="1:2" x14ac:dyDescent="0.3">
      <c r="A63" s="61" t="s">
        <v>1262</v>
      </c>
      <c r="B63" s="64">
        <v>4756.4957798239593</v>
      </c>
    </row>
    <row r="64" spans="1:2" x14ac:dyDescent="0.3">
      <c r="A64" s="61" t="s">
        <v>1263</v>
      </c>
      <c r="B64" s="64">
        <v>5258.5207234870504</v>
      </c>
    </row>
    <row r="65" spans="1:2" x14ac:dyDescent="0.3">
      <c r="A65" s="61" t="s">
        <v>1264</v>
      </c>
      <c r="B65" s="64">
        <v>5136.9489708014207</v>
      </c>
    </row>
    <row r="66" spans="1:2" x14ac:dyDescent="0.3">
      <c r="A66" s="61" t="s">
        <v>1265</v>
      </c>
      <c r="B66" s="64">
        <v>5023.2420191432848</v>
      </c>
    </row>
    <row r="67" spans="1:2" x14ac:dyDescent="0.3">
      <c r="A67" s="61" t="s">
        <v>1266</v>
      </c>
      <c r="B67" s="64">
        <v>4957.074307396213</v>
      </c>
    </row>
    <row r="68" spans="1:2" x14ac:dyDescent="0.3">
      <c r="A68" s="61" t="s">
        <v>1267</v>
      </c>
      <c r="B68" s="64">
        <v>4907.3698056848461</v>
      </c>
    </row>
    <row r="69" spans="1:2" x14ac:dyDescent="0.3">
      <c r="A69" s="61" t="s">
        <v>1268</v>
      </c>
      <c r="B69" s="64">
        <v>5258.4647110191509</v>
      </c>
    </row>
    <row r="70" spans="1:2" x14ac:dyDescent="0.3">
      <c r="A70" s="61" t="s">
        <v>1269</v>
      </c>
      <c r="B70" s="64">
        <v>5633.61115568284</v>
      </c>
    </row>
    <row r="71" spans="1:2" x14ac:dyDescent="0.3">
      <c r="A71" s="61" t="s">
        <v>1270</v>
      </c>
      <c r="B71" s="64">
        <v>5843.5749100406392</v>
      </c>
    </row>
    <row r="72" spans="1:2" x14ac:dyDescent="0.3">
      <c r="A72" s="61" t="s">
        <v>1271</v>
      </c>
      <c r="B72" s="64">
        <v>6031.6980936641012</v>
      </c>
    </row>
    <row r="73" spans="1:2" x14ac:dyDescent="0.3">
      <c r="A73" s="61" t="s">
        <v>1272</v>
      </c>
      <c r="B73" s="64">
        <v>6038.6211035266097</v>
      </c>
    </row>
    <row r="74" spans="1:2" x14ac:dyDescent="0.3">
      <c r="A74" s="61" t="s">
        <v>1273</v>
      </c>
      <c r="B74" s="64">
        <v>5770.012870795902</v>
      </c>
    </row>
    <row r="75" spans="1:2" x14ac:dyDescent="0.3">
      <c r="A75" s="61" t="s">
        <v>1274</v>
      </c>
      <c r="B75" s="64">
        <v>6359.4198677883978</v>
      </c>
    </row>
    <row r="76" spans="1:2" x14ac:dyDescent="0.3">
      <c r="A76" s="61" t="s">
        <v>1275</v>
      </c>
      <c r="B76" s="64">
        <v>5917.6198080275008</v>
      </c>
    </row>
    <row r="77" spans="1:2" x14ac:dyDescent="0.3">
      <c r="A77" s="61" t="s">
        <v>1276</v>
      </c>
      <c r="B77" s="64">
        <v>5677.5729334750449</v>
      </c>
    </row>
    <row r="78" spans="1:2" x14ac:dyDescent="0.3">
      <c r="A78" s="61" t="s">
        <v>1277</v>
      </c>
      <c r="B78" s="64">
        <v>5461.3753086184806</v>
      </c>
    </row>
    <row r="79" spans="1:2" x14ac:dyDescent="0.3">
      <c r="A79" s="61" t="s">
        <v>1278</v>
      </c>
      <c r="B79" s="64">
        <v>5216.5581007146075</v>
      </c>
    </row>
    <row r="80" spans="1:2" x14ac:dyDescent="0.3">
      <c r="A80" s="61" t="s">
        <v>1279</v>
      </c>
      <c r="B80" s="64">
        <v>5214.319127389429</v>
      </c>
    </row>
    <row r="81" spans="1:2" x14ac:dyDescent="0.3">
      <c r="A81" s="61" t="s">
        <v>1280</v>
      </c>
      <c r="B81" s="64">
        <v>4731.7201926403686</v>
      </c>
    </row>
    <row r="82" spans="1:2" x14ac:dyDescent="0.3">
      <c r="A82" s="61" t="s">
        <v>1281</v>
      </c>
      <c r="B82" s="64">
        <v>4333.7931689864627</v>
      </c>
    </row>
    <row r="83" spans="1:2" x14ac:dyDescent="0.3">
      <c r="A83" s="61" t="s">
        <v>1282</v>
      </c>
      <c r="B83" s="64">
        <v>4024.6352636277284</v>
      </c>
    </row>
    <row r="84" spans="1:2" x14ac:dyDescent="0.3">
      <c r="A84" s="61" t="s">
        <v>1283</v>
      </c>
      <c r="B84" s="64">
        <v>3883.8035440099102</v>
      </c>
    </row>
    <row r="85" spans="1:2" x14ac:dyDescent="0.3">
      <c r="A85" s="61" t="s">
        <v>1284</v>
      </c>
      <c r="B85" s="64">
        <v>4272.6982204317837</v>
      </c>
    </row>
    <row r="86" spans="1:2" x14ac:dyDescent="0.3">
      <c r="A86" s="61" t="s">
        <v>1285</v>
      </c>
      <c r="B86" s="64">
        <v>3845.9082857021995</v>
      </c>
    </row>
    <row r="87" spans="1:2" x14ac:dyDescent="0.3">
      <c r="A87" s="61" t="s">
        <v>1286</v>
      </c>
      <c r="B87" s="64">
        <v>3801.462697785274</v>
      </c>
    </row>
    <row r="88" spans="1:2" x14ac:dyDescent="0.3">
      <c r="A88" s="61" t="s">
        <v>1287</v>
      </c>
      <c r="B88" s="64">
        <v>4306.5719237749709</v>
      </c>
    </row>
    <row r="89" spans="1:2" x14ac:dyDescent="0.3">
      <c r="A89" s="61" t="s">
        <v>1288</v>
      </c>
      <c r="B89" s="64">
        <v>4059.0273174062672</v>
      </c>
    </row>
    <row r="90" spans="1:2" x14ac:dyDescent="0.3">
      <c r="A90" s="61" t="s">
        <v>1289</v>
      </c>
      <c r="B90" s="64">
        <v>3697.5461892026251</v>
      </c>
    </row>
    <row r="91" spans="1:2" x14ac:dyDescent="0.3">
      <c r="A91" s="61" t="s">
        <v>1290</v>
      </c>
      <c r="B91" s="64">
        <v>3878.8018927500752</v>
      </c>
    </row>
    <row r="92" spans="1:2" x14ac:dyDescent="0.3">
      <c r="A92" s="61" t="s">
        <v>1291</v>
      </c>
      <c r="B92" s="64">
        <v>3629.0053507087282</v>
      </c>
    </row>
    <row r="93" spans="1:2" x14ac:dyDescent="0.3">
      <c r="A93" s="61" t="s">
        <v>1292</v>
      </c>
      <c r="B93" s="64">
        <v>3358.4669212644339</v>
      </c>
    </row>
    <row r="94" spans="1:2" x14ac:dyDescent="0.3">
      <c r="A94" s="61" t="s">
        <v>1293</v>
      </c>
      <c r="B94" s="64">
        <v>3211.6884351871795</v>
      </c>
    </row>
    <row r="95" spans="1:2" x14ac:dyDescent="0.3">
      <c r="A95" s="61" t="s">
        <v>1294</v>
      </c>
      <c r="B95" s="64">
        <v>2905.322179715256</v>
      </c>
    </row>
    <row r="96" spans="1:2" x14ac:dyDescent="0.3">
      <c r="A96" s="61" t="s">
        <v>1295</v>
      </c>
      <c r="B96" s="64">
        <v>3238.3161751859097</v>
      </c>
    </row>
    <row r="97" spans="1:2" x14ac:dyDescent="0.3">
      <c r="A97" s="61" t="s">
        <v>1296</v>
      </c>
      <c r="B97" s="64">
        <v>3104.9597306368905</v>
      </c>
    </row>
    <row r="98" spans="1:2" x14ac:dyDescent="0.3">
      <c r="A98" s="61" t="s">
        <v>1297</v>
      </c>
      <c r="B98" s="64">
        <v>2937.6354670816681</v>
      </c>
    </row>
    <row r="99" spans="1:2" x14ac:dyDescent="0.3">
      <c r="A99" s="61" t="s">
        <v>1298</v>
      </c>
      <c r="B99" s="64">
        <v>2865.1666779069737</v>
      </c>
    </row>
    <row r="100" spans="1:2" x14ac:dyDescent="0.3">
      <c r="A100" s="61" t="s">
        <v>1299</v>
      </c>
      <c r="B100" s="64">
        <v>2626.1484364499015</v>
      </c>
    </row>
    <row r="101" spans="1:2" x14ac:dyDescent="0.3">
      <c r="A101" s="61" t="s">
        <v>1300</v>
      </c>
      <c r="B101" s="64">
        <v>2776.4472187699316</v>
      </c>
    </row>
    <row r="102" spans="1:2" x14ac:dyDescent="0.3">
      <c r="A102" s="61" t="s">
        <v>1301</v>
      </c>
      <c r="B102" s="64">
        <v>2660.5955489230701</v>
      </c>
    </row>
    <row r="103" spans="1:2" x14ac:dyDescent="0.3">
      <c r="A103" s="61" t="s">
        <v>1302</v>
      </c>
      <c r="B103" s="64">
        <v>2832.9245525246438</v>
      </c>
    </row>
    <row r="104" spans="1:2" x14ac:dyDescent="0.3">
      <c r="A104" s="61" t="s">
        <v>1303</v>
      </c>
      <c r="B104" s="64">
        <v>3023.5245951488741</v>
      </c>
    </row>
    <row r="105" spans="1:2" x14ac:dyDescent="0.3">
      <c r="A105" s="61" t="s">
        <v>1304</v>
      </c>
      <c r="B105" s="64">
        <v>3069.1546506263462</v>
      </c>
    </row>
    <row r="106" spans="1:2" x14ac:dyDescent="0.3">
      <c r="A106" s="61" t="s">
        <v>1305</v>
      </c>
      <c r="B106" s="64">
        <v>2772.274004998168</v>
      </c>
    </row>
    <row r="107" spans="1:2" x14ac:dyDescent="0.3">
      <c r="A107" s="61" t="s">
        <v>1306</v>
      </c>
      <c r="B107" s="64">
        <v>2880.7084610701108</v>
      </c>
    </row>
    <row r="108" spans="1:2" x14ac:dyDescent="0.3">
      <c r="A108" s="61" t="s">
        <v>1307</v>
      </c>
      <c r="B108" s="64">
        <v>2753.1777458507199</v>
      </c>
    </row>
    <row r="109" spans="1:2" x14ac:dyDescent="0.3">
      <c r="A109" s="61" t="s">
        <v>1308</v>
      </c>
      <c r="B109" s="64">
        <v>2722.6754737894616</v>
      </c>
    </row>
    <row r="110" spans="1:2" x14ac:dyDescent="0.3">
      <c r="A110" s="61" t="s">
        <v>1309</v>
      </c>
      <c r="B110" s="64">
        <v>2774.8828214424479</v>
      </c>
    </row>
    <row r="111" spans="1:2" x14ac:dyDescent="0.3">
      <c r="A111" s="61" t="s">
        <v>1310</v>
      </c>
      <c r="B111" s="64">
        <v>2669.2246330108896</v>
      </c>
    </row>
    <row r="112" spans="1:2" x14ac:dyDescent="0.3">
      <c r="A112" s="61" t="s">
        <v>1311</v>
      </c>
      <c r="B112" s="64">
        <v>2713.8235455833428</v>
      </c>
    </row>
    <row r="113" spans="1:2" x14ac:dyDescent="0.3">
      <c r="A113" s="61" t="s">
        <v>1312</v>
      </c>
      <c r="B113" s="64">
        <v>2567.0483180838824</v>
      </c>
    </row>
    <row r="114" spans="1:2" x14ac:dyDescent="0.3">
      <c r="A114" s="61" t="s">
        <v>1313</v>
      </c>
      <c r="B114" s="64">
        <v>2523.4509703668459</v>
      </c>
    </row>
    <row r="115" spans="1:2" x14ac:dyDescent="0.3">
      <c r="A115" s="61" t="s">
        <v>1314</v>
      </c>
      <c r="B115" s="64">
        <v>2437.2814667162475</v>
      </c>
    </row>
    <row r="116" spans="1:2" x14ac:dyDescent="0.3">
      <c r="A116" s="61" t="s">
        <v>1315</v>
      </c>
      <c r="B116" s="64">
        <v>2273.7402337299154</v>
      </c>
    </row>
    <row r="117" spans="1:2" x14ac:dyDescent="0.3">
      <c r="A117" s="61" t="s">
        <v>1316</v>
      </c>
      <c r="B117" s="64">
        <v>2324.7651927775069</v>
      </c>
    </row>
    <row r="118" spans="1:2" x14ac:dyDescent="0.3">
      <c r="A118" s="61" t="s">
        <v>1317</v>
      </c>
      <c r="B118" s="64">
        <v>2216.7491300551728</v>
      </c>
    </row>
    <row r="119" spans="1:2" x14ac:dyDescent="0.3">
      <c r="A119" s="61" t="s">
        <v>1318</v>
      </c>
      <c r="B119" s="64">
        <v>2248.7266301122595</v>
      </c>
    </row>
    <row r="120" spans="1:2" x14ac:dyDescent="0.3">
      <c r="A120" s="61" t="s">
        <v>1319</v>
      </c>
      <c r="B120" s="64">
        <v>2281.0495314362774</v>
      </c>
    </row>
    <row r="121" spans="1:2" x14ac:dyDescent="0.3">
      <c r="A121" s="61" t="s">
        <v>1320</v>
      </c>
      <c r="B121" s="64">
        <v>2364.098628365025</v>
      </c>
    </row>
    <row r="122" spans="1:2" x14ac:dyDescent="0.3">
      <c r="A122" s="61" t="s">
        <v>1321</v>
      </c>
      <c r="B122" s="64">
        <v>2380.5168155935435</v>
      </c>
    </row>
    <row r="123" spans="1:2" x14ac:dyDescent="0.3">
      <c r="A123" s="61" t="s">
        <v>1322</v>
      </c>
      <c r="B123" s="64">
        <v>2287.7281377056138</v>
      </c>
    </row>
    <row r="124" spans="1:2" x14ac:dyDescent="0.3">
      <c r="A124" s="61" t="s">
        <v>1323</v>
      </c>
      <c r="B124" s="64">
        <v>2275.3490649392634</v>
      </c>
    </row>
    <row r="125" spans="1:2" x14ac:dyDescent="0.3">
      <c r="A125" s="61" t="s">
        <v>1324</v>
      </c>
      <c r="B125" s="64">
        <v>2212.7976995928248</v>
      </c>
    </row>
    <row r="126" spans="1:2" x14ac:dyDescent="0.3">
      <c r="A126" s="61" t="s">
        <v>1325</v>
      </c>
      <c r="B126" s="64">
        <v>2201.5414227356755</v>
      </c>
    </row>
    <row r="127" spans="1:2" x14ac:dyDescent="0.3">
      <c r="A127" s="61" t="s">
        <v>1326</v>
      </c>
      <c r="B127" s="64">
        <v>2120.1264130121158</v>
      </c>
    </row>
    <row r="128" spans="1:2" x14ac:dyDescent="0.3">
      <c r="A128" s="61" t="s">
        <v>1327</v>
      </c>
      <c r="B128" s="64">
        <v>2286.5025670255563</v>
      </c>
    </row>
    <row r="129" spans="1:2" x14ac:dyDescent="0.3">
      <c r="A129" s="61" t="s">
        <v>1328</v>
      </c>
      <c r="B129" s="64">
        <v>2279.1320870921513</v>
      </c>
    </row>
    <row r="130" spans="1:2" x14ac:dyDescent="0.3">
      <c r="A130" s="61" t="s">
        <v>1329</v>
      </c>
      <c r="B130" s="64">
        <v>2247.4514579138258</v>
      </c>
    </row>
    <row r="131" spans="1:2" x14ac:dyDescent="0.3">
      <c r="A131" s="61" t="s">
        <v>1330</v>
      </c>
      <c r="B131" s="64">
        <v>2035.7143968182218</v>
      </c>
    </row>
    <row r="132" spans="1:2" x14ac:dyDescent="0.3">
      <c r="A132" s="61" t="s">
        <v>1331</v>
      </c>
      <c r="B132" s="64">
        <v>1931.0420801560729</v>
      </c>
    </row>
    <row r="133" spans="1:2" x14ac:dyDescent="0.3">
      <c r="A133" s="61" t="s">
        <v>1332</v>
      </c>
      <c r="B133" s="64">
        <v>1961.7539928900301</v>
      </c>
    </row>
    <row r="134" spans="1:2" x14ac:dyDescent="0.3">
      <c r="A134" s="61" t="s">
        <v>1333</v>
      </c>
      <c r="B134" s="64">
        <v>2023.5643407890548</v>
      </c>
    </row>
    <row r="135" spans="1:2" x14ac:dyDescent="0.3">
      <c r="A135" s="61" t="s">
        <v>1334</v>
      </c>
      <c r="B135" s="64">
        <v>2111.9731398042491</v>
      </c>
    </row>
    <row r="136" spans="1:2" x14ac:dyDescent="0.3">
      <c r="A136" s="61" t="s">
        <v>1335</v>
      </c>
      <c r="B136" s="64">
        <v>2166.4494801148567</v>
      </c>
    </row>
    <row r="137" spans="1:2" x14ac:dyDescent="0.3">
      <c r="A137" s="61" t="s">
        <v>1336</v>
      </c>
      <c r="B137" s="64">
        <v>2378.9988663832432</v>
      </c>
    </row>
    <row r="138" spans="1:2" x14ac:dyDescent="0.3">
      <c r="A138" s="61" t="s">
        <v>1337</v>
      </c>
      <c r="B138" s="64">
        <v>2353.4584802069139</v>
      </c>
    </row>
    <row r="139" spans="1:2" x14ac:dyDescent="0.3">
      <c r="A139" s="61" t="s">
        <v>1338</v>
      </c>
      <c r="B139" s="64">
        <v>2526.1042483778965</v>
      </c>
    </row>
    <row r="140" spans="1:2" x14ac:dyDescent="0.3">
      <c r="A140" s="61" t="s">
        <v>1339</v>
      </c>
      <c r="B140" s="64">
        <v>2336.7614631234578</v>
      </c>
    </row>
    <row r="141" spans="1:2" x14ac:dyDescent="0.3">
      <c r="A141" s="61" t="s">
        <v>1340</v>
      </c>
      <c r="B141" s="64">
        <v>2120.2279828864966</v>
      </c>
    </row>
    <row r="142" spans="1:2" x14ac:dyDescent="0.3">
      <c r="A142" s="61" t="s">
        <v>1341</v>
      </c>
      <c r="B142" s="64">
        <v>2019.7455926478676</v>
      </c>
    </row>
    <row r="143" spans="1:2" x14ac:dyDescent="0.3">
      <c r="A143" s="61" t="s">
        <v>1342</v>
      </c>
      <c r="B143" s="64">
        <v>2038.9076418026375</v>
      </c>
    </row>
    <row r="144" spans="1:2" x14ac:dyDescent="0.3">
      <c r="A144" s="61" t="s">
        <v>1343</v>
      </c>
      <c r="B144" s="64">
        <v>2084.3977615738527</v>
      </c>
    </row>
    <row r="145" spans="1:2" x14ac:dyDescent="0.3">
      <c r="A145" s="61" t="s">
        <v>1344</v>
      </c>
      <c r="B145" s="64">
        <v>1950.0074190565231</v>
      </c>
    </row>
    <row r="146" spans="1:2" x14ac:dyDescent="0.3">
      <c r="A146" s="61" t="s">
        <v>1345</v>
      </c>
      <c r="B146" s="64">
        <v>1980.5456475784461</v>
      </c>
    </row>
    <row r="147" spans="1:2" x14ac:dyDescent="0.3">
      <c r="A147" s="61" t="s">
        <v>1346</v>
      </c>
      <c r="B147" s="64">
        <v>1928.6331825987104</v>
      </c>
    </row>
    <row r="148" spans="1:2" x14ac:dyDescent="0.3">
      <c r="A148" s="61" t="s">
        <v>1347</v>
      </c>
      <c r="B148" s="64">
        <v>1932.2608122963993</v>
      </c>
    </row>
    <row r="149" spans="1:2" x14ac:dyDescent="0.3">
      <c r="A149" s="61" t="s">
        <v>1348</v>
      </c>
      <c r="B149" s="64">
        <v>2081.5573679150411</v>
      </c>
    </row>
    <row r="150" spans="1:2" x14ac:dyDescent="0.3">
      <c r="A150" s="61" t="s">
        <v>1349</v>
      </c>
      <c r="B150" s="64">
        <v>2074.2443813483192</v>
      </c>
    </row>
    <row r="151" spans="1:2" x14ac:dyDescent="0.3">
      <c r="A151" s="61" t="s">
        <v>1350</v>
      </c>
      <c r="B151" s="64">
        <v>2284.2499217988716</v>
      </c>
    </row>
    <row r="152" spans="1:2" x14ac:dyDescent="0.3">
      <c r="A152" s="61" t="s">
        <v>1351</v>
      </c>
      <c r="B152" s="64">
        <v>2490.0229203089516</v>
      </c>
    </row>
    <row r="153" spans="1:2" x14ac:dyDescent="0.3">
      <c r="A153" s="61" t="s">
        <v>1352</v>
      </c>
      <c r="B153" s="64">
        <v>2588.5405147008833</v>
      </c>
    </row>
    <row r="154" spans="1:2" x14ac:dyDescent="0.3">
      <c r="A154" s="61" t="s">
        <v>1353</v>
      </c>
      <c r="B154" s="64">
        <v>2809.8645675727689</v>
      </c>
    </row>
    <row r="155" spans="1:2" x14ac:dyDescent="0.3">
      <c r="A155" s="61" t="s">
        <v>1354</v>
      </c>
      <c r="B155" s="64">
        <v>2911.5616373902112</v>
      </c>
    </row>
    <row r="156" spans="1:2" x14ac:dyDescent="0.3">
      <c r="A156" s="61" t="s">
        <v>1355</v>
      </c>
      <c r="B156" s="64">
        <v>2745.7569381306853</v>
      </c>
    </row>
    <row r="157" spans="1:2" x14ac:dyDescent="0.3">
      <c r="A157" s="61" t="s">
        <v>1356</v>
      </c>
      <c r="B157" s="64">
        <v>2803.1526261593121</v>
      </c>
    </row>
    <row r="158" spans="1:2" x14ac:dyDescent="0.3">
      <c r="A158" s="61" t="s">
        <v>1357</v>
      </c>
      <c r="B158" s="64">
        <v>2935.1766398319419</v>
      </c>
    </row>
    <row r="159" spans="1:2" x14ac:dyDescent="0.3">
      <c r="A159" s="61" t="s">
        <v>1358</v>
      </c>
      <c r="B159" s="64">
        <v>2752.0295485062643</v>
      </c>
    </row>
    <row r="160" spans="1:2" x14ac:dyDescent="0.3">
      <c r="A160" s="61" t="s">
        <v>1359</v>
      </c>
      <c r="B160" s="64">
        <v>2835.7965431579269</v>
      </c>
    </row>
    <row r="161" spans="1:2" x14ac:dyDescent="0.3">
      <c r="A161" s="61" t="s">
        <v>1360</v>
      </c>
      <c r="B161" s="64">
        <v>2788.7481160907914</v>
      </c>
    </row>
    <row r="162" spans="1:2" x14ac:dyDescent="0.3">
      <c r="A162" s="61" t="s">
        <v>1361</v>
      </c>
      <c r="B162" s="64">
        <v>2783.8134368018837</v>
      </c>
    </row>
    <row r="163" spans="1:2" x14ac:dyDescent="0.3">
      <c r="A163" s="61" t="s">
        <v>1362</v>
      </c>
      <c r="B163" s="64">
        <v>2672.2633453557678</v>
      </c>
    </row>
    <row r="164" spans="1:2" x14ac:dyDescent="0.3">
      <c r="A164" s="61" t="s">
        <v>1363</v>
      </c>
      <c r="B164" s="64">
        <v>2524.3997090835437</v>
      </c>
    </row>
    <row r="165" spans="1:2" x14ac:dyDescent="0.3">
      <c r="A165" s="61" t="s">
        <v>1364</v>
      </c>
      <c r="B165" s="64">
        <v>2606.5335827291615</v>
      </c>
    </row>
    <row r="166" spans="1:2" x14ac:dyDescent="0.3">
      <c r="A166" s="61" t="s">
        <v>1365</v>
      </c>
      <c r="B166" s="64">
        <v>2721.1140254771926</v>
      </c>
    </row>
    <row r="167" spans="1:2" x14ac:dyDescent="0.3">
      <c r="A167" s="61" t="s">
        <v>1366</v>
      </c>
      <c r="B167" s="64">
        <v>2819.6605859977808</v>
      </c>
    </row>
    <row r="168" spans="1:2" x14ac:dyDescent="0.3">
      <c r="A168" s="61" t="s">
        <v>1367</v>
      </c>
      <c r="B168" s="64">
        <v>2859.1009383140213</v>
      </c>
    </row>
    <row r="169" spans="1:2" x14ac:dyDescent="0.3">
      <c r="A169" s="61" t="s">
        <v>1368</v>
      </c>
      <c r="B169" s="64">
        <v>3010.8560060377986</v>
      </c>
    </row>
    <row r="170" spans="1:2" x14ac:dyDescent="0.3">
      <c r="A170" s="61" t="s">
        <v>1369</v>
      </c>
      <c r="B170" s="64">
        <v>3088.109176502332</v>
      </c>
    </row>
    <row r="171" spans="1:2" x14ac:dyDescent="0.3">
      <c r="A171" s="61" t="s">
        <v>1370</v>
      </c>
      <c r="B171" s="64">
        <v>3188.184671806745</v>
      </c>
    </row>
    <row r="172" spans="1:2" x14ac:dyDescent="0.3">
      <c r="A172" s="61" t="s">
        <v>1371</v>
      </c>
      <c r="B172" s="64">
        <v>3125.8114291744037</v>
      </c>
    </row>
    <row r="173" spans="1:2" x14ac:dyDescent="0.3">
      <c r="A173" s="61" t="s">
        <v>1372</v>
      </c>
      <c r="B173" s="64">
        <v>3048.6186361804253</v>
      </c>
    </row>
    <row r="174" spans="1:2" x14ac:dyDescent="0.3">
      <c r="A174" s="61" t="s">
        <v>1373</v>
      </c>
      <c r="B174" s="64">
        <v>3052.2177625182853</v>
      </c>
    </row>
    <row r="175" spans="1:2" x14ac:dyDescent="0.3">
      <c r="A175" s="61" t="s">
        <v>1374</v>
      </c>
      <c r="B175" s="64">
        <v>3002.9998648144224</v>
      </c>
    </row>
    <row r="176" spans="1:2" x14ac:dyDescent="0.3">
      <c r="A176" s="61" t="s">
        <v>1375</v>
      </c>
      <c r="B176" s="64">
        <v>3314.3644095674235</v>
      </c>
    </row>
    <row r="177" spans="1:2" x14ac:dyDescent="0.3">
      <c r="A177" s="61" t="s">
        <v>1376</v>
      </c>
      <c r="B177" s="64">
        <v>3191.481038612987</v>
      </c>
    </row>
    <row r="178" spans="1:2" x14ac:dyDescent="0.3">
      <c r="A178" s="61" t="s">
        <v>1377</v>
      </c>
      <c r="B178" s="64">
        <v>3542.4662960822075</v>
      </c>
    </row>
    <row r="179" spans="1:2" x14ac:dyDescent="0.3">
      <c r="A179" s="61" t="s">
        <v>1378</v>
      </c>
      <c r="B179" s="64">
        <v>3673.7094818625487</v>
      </c>
    </row>
    <row r="180" spans="1:2" x14ac:dyDescent="0.3">
      <c r="A180" s="61" t="s">
        <v>1379</v>
      </c>
      <c r="B180" s="64">
        <v>3449.2127399520164</v>
      </c>
    </row>
    <row r="181" spans="1:2" x14ac:dyDescent="0.3">
      <c r="A181" s="61" t="s">
        <v>1380</v>
      </c>
      <c r="B181" s="64">
        <v>3537.6001970863654</v>
      </c>
    </row>
    <row r="182" spans="1:2" x14ac:dyDescent="0.3">
      <c r="A182" s="61" t="s">
        <v>1381</v>
      </c>
      <c r="B182" s="64">
        <v>3778.5183425071391</v>
      </c>
    </row>
    <row r="183" spans="1:2" x14ac:dyDescent="0.3">
      <c r="A183" s="61" t="s">
        <v>1382</v>
      </c>
      <c r="B183" s="64">
        <v>3908.2427351474748</v>
      </c>
    </row>
    <row r="184" spans="1:2" x14ac:dyDescent="0.3">
      <c r="A184" s="61" t="s">
        <v>1383</v>
      </c>
      <c r="B184" s="64">
        <v>4034.1679493450697</v>
      </c>
    </row>
    <row r="185" spans="1:2" x14ac:dyDescent="0.3">
      <c r="A185" s="61" t="s">
        <v>1384</v>
      </c>
      <c r="B185" s="64">
        <v>4035.1747645597675</v>
      </c>
    </row>
    <row r="186" spans="1:2" x14ac:dyDescent="0.3">
      <c r="A186" s="61" t="s">
        <v>1385</v>
      </c>
      <c r="B186" s="64">
        <v>4078.7115849945881</v>
      </c>
    </row>
    <row r="187" spans="1:2" x14ac:dyDescent="0.3">
      <c r="A187" s="61" t="s">
        <v>1386</v>
      </c>
      <c r="B187" s="64">
        <v>4487.7946091692002</v>
      </c>
    </row>
    <row r="188" spans="1:2" x14ac:dyDescent="0.3">
      <c r="A188" s="61" t="s">
        <v>1387</v>
      </c>
      <c r="B188" s="64">
        <v>4183.1343737154784</v>
      </c>
    </row>
    <row r="189" spans="1:2" x14ac:dyDescent="0.3">
      <c r="A189" s="61" t="s">
        <v>1388</v>
      </c>
      <c r="B189" s="64">
        <v>4445.4860701345924</v>
      </c>
    </row>
    <row r="190" spans="1:2" x14ac:dyDescent="0.3">
      <c r="A190" s="61" t="s">
        <v>1389</v>
      </c>
      <c r="B190" s="64">
        <v>4696.4246639435369</v>
      </c>
    </row>
    <row r="191" spans="1:2" x14ac:dyDescent="0.3">
      <c r="A191" s="61" t="s">
        <v>1390</v>
      </c>
      <c r="B191" s="64">
        <v>4491.009769156999</v>
      </c>
    </row>
    <row r="192" spans="1:2" x14ac:dyDescent="0.3">
      <c r="A192" s="61" t="s">
        <v>1391</v>
      </c>
      <c r="B192" s="64">
        <v>4499.0366430118165</v>
      </c>
    </row>
    <row r="193" spans="1:2" x14ac:dyDescent="0.3">
      <c r="A193" s="61" t="s">
        <v>1392</v>
      </c>
      <c r="B193" s="64">
        <v>4090.7174492892709</v>
      </c>
    </row>
    <row r="194" spans="1:2" x14ac:dyDescent="0.3">
      <c r="A194" s="61" t="s">
        <v>1393</v>
      </c>
      <c r="B194" s="64">
        <v>4242.5710240301796</v>
      </c>
    </row>
    <row r="195" spans="1:2" x14ac:dyDescent="0.3">
      <c r="A195" s="61" t="s">
        <v>1394</v>
      </c>
      <c r="B195" s="64">
        <v>4241.8417966308598</v>
      </c>
    </row>
    <row r="196" spans="1:2" x14ac:dyDescent="0.3">
      <c r="A196" s="61" t="s">
        <v>1395</v>
      </c>
      <c r="B196" s="64">
        <v>4098.8276979308994</v>
      </c>
    </row>
    <row r="197" spans="1:2" x14ac:dyDescent="0.3">
      <c r="A197" s="61" t="s">
        <v>1396</v>
      </c>
      <c r="B197" s="64">
        <v>4502.8367673777002</v>
      </c>
    </row>
    <row r="198" spans="1:2" x14ac:dyDescent="0.3">
      <c r="A198" s="61" t="s">
        <v>1397</v>
      </c>
      <c r="B198" s="64">
        <v>4540.314408454753</v>
      </c>
    </row>
    <row r="199" spans="1:2" x14ac:dyDescent="0.3">
      <c r="A199" s="61" t="s">
        <v>1398</v>
      </c>
      <c r="B199" s="64">
        <v>4484.7135494372678</v>
      </c>
    </row>
    <row r="200" spans="1:2" x14ac:dyDescent="0.3">
      <c r="A200" s="61" t="s">
        <v>1399</v>
      </c>
      <c r="B200" s="64">
        <v>4311.7362611856561</v>
      </c>
    </row>
    <row r="201" spans="1:2" x14ac:dyDescent="0.3">
      <c r="A201" s="61" t="s">
        <v>1400</v>
      </c>
      <c r="B201" s="64">
        <v>4593.6546652788547</v>
      </c>
    </row>
    <row r="202" spans="1:2" x14ac:dyDescent="0.3">
      <c r="A202" s="61" t="s">
        <v>1401</v>
      </c>
      <c r="B202" s="64">
        <v>4496.4988958328131</v>
      </c>
    </row>
    <row r="203" spans="1:2" x14ac:dyDescent="0.3">
      <c r="A203" s="61" t="s">
        <v>1402</v>
      </c>
      <c r="B203" s="64">
        <v>4608.2077457925288</v>
      </c>
    </row>
    <row r="204" spans="1:2" x14ac:dyDescent="0.3">
      <c r="A204" s="61" t="s">
        <v>1403</v>
      </c>
      <c r="B204" s="64">
        <v>4312.4613706570117</v>
      </c>
    </row>
    <row r="205" spans="1:2" x14ac:dyDescent="0.3">
      <c r="A205" s="61" t="s">
        <v>1404</v>
      </c>
      <c r="B205" s="64">
        <v>3995.0785084463328</v>
      </c>
    </row>
    <row r="206" spans="1:2" x14ac:dyDescent="0.3">
      <c r="A206" s="61" t="s">
        <v>1405</v>
      </c>
      <c r="B206" s="64">
        <v>3822.0991642152439</v>
      </c>
    </row>
    <row r="207" spans="1:2" x14ac:dyDescent="0.3">
      <c r="A207" s="61" t="s">
        <v>1406</v>
      </c>
      <c r="B207" s="64">
        <v>3466.2600586095805</v>
      </c>
    </row>
    <row r="208" spans="1:2" x14ac:dyDescent="0.3">
      <c r="A208" s="61" t="s">
        <v>1407</v>
      </c>
      <c r="B208" s="64">
        <v>3575.6611060660666</v>
      </c>
    </row>
    <row r="209" spans="1:2" x14ac:dyDescent="0.3">
      <c r="A209" s="61" t="s">
        <v>1408</v>
      </c>
      <c r="B209" s="64">
        <v>3433.3188716360405</v>
      </c>
    </row>
    <row r="210" spans="1:2" x14ac:dyDescent="0.3">
      <c r="A210" s="61" t="s">
        <v>1409</v>
      </c>
      <c r="B210" s="64">
        <v>3251.834181890978</v>
      </c>
    </row>
    <row r="211" spans="1:2" x14ac:dyDescent="0.3">
      <c r="A211" s="61" t="s">
        <v>1410</v>
      </c>
      <c r="B211" s="64">
        <v>3176.9864359188159</v>
      </c>
    </row>
    <row r="212" spans="1:2" x14ac:dyDescent="0.3">
      <c r="A212" s="61" t="s">
        <v>1411</v>
      </c>
      <c r="B212" s="64">
        <v>2917.5955597389161</v>
      </c>
    </row>
    <row r="213" spans="1:2" x14ac:dyDescent="0.3">
      <c r="A213" s="61" t="s">
        <v>1412</v>
      </c>
      <c r="B213" s="64">
        <v>2857.6974235737689</v>
      </c>
    </row>
    <row r="214" spans="1:2" x14ac:dyDescent="0.3">
      <c r="A214" s="61" t="s">
        <v>1413</v>
      </c>
      <c r="B214" s="64">
        <v>2738.1672358487185</v>
      </c>
    </row>
    <row r="215" spans="1:2" x14ac:dyDescent="0.3">
      <c r="A215" s="61" t="s">
        <v>1414</v>
      </c>
      <c r="B215" s="64">
        <v>2910.4945470315638</v>
      </c>
    </row>
    <row r="216" spans="1:2" x14ac:dyDescent="0.3">
      <c r="A216" s="61" t="s">
        <v>1415</v>
      </c>
      <c r="B216" s="64">
        <v>2900.2606998573974</v>
      </c>
    </row>
    <row r="217" spans="1:2" x14ac:dyDescent="0.3">
      <c r="A217" s="61" t="s">
        <v>1416</v>
      </c>
      <c r="B217" s="64">
        <v>2939.3788657845143</v>
      </c>
    </row>
    <row r="218" spans="1:2" x14ac:dyDescent="0.3">
      <c r="A218" s="61" t="s">
        <v>1417</v>
      </c>
      <c r="B218" s="64">
        <v>2661.7728575023361</v>
      </c>
    </row>
    <row r="219" spans="1:2" x14ac:dyDescent="0.3">
      <c r="A219" s="61" t="s">
        <v>1418</v>
      </c>
      <c r="B219" s="64">
        <v>2765.8215103136185</v>
      </c>
    </row>
    <row r="220" spans="1:2" x14ac:dyDescent="0.3">
      <c r="A220" s="61" t="s">
        <v>1419</v>
      </c>
      <c r="B220" s="64">
        <v>2645.9989494524671</v>
      </c>
    </row>
    <row r="221" spans="1:2" x14ac:dyDescent="0.3">
      <c r="A221" s="61" t="s">
        <v>1420</v>
      </c>
      <c r="B221" s="64">
        <v>2558.0972372109454</v>
      </c>
    </row>
    <row r="222" spans="1:2" x14ac:dyDescent="0.3">
      <c r="A222" s="61" t="s">
        <v>1421</v>
      </c>
      <c r="B222" s="64">
        <v>2256.5243445197793</v>
      </c>
    </row>
    <row r="223" spans="1:2" x14ac:dyDescent="0.3">
      <c r="A223" s="61" t="s">
        <v>1422</v>
      </c>
      <c r="B223" s="64">
        <v>2173.6815774884381</v>
      </c>
    </row>
    <row r="224" spans="1:2" x14ac:dyDescent="0.3">
      <c r="A224" s="61" t="s">
        <v>1423</v>
      </c>
      <c r="B224" s="64">
        <v>2137.0603362781594</v>
      </c>
    </row>
    <row r="225" spans="1:2" x14ac:dyDescent="0.3">
      <c r="A225" s="61" t="s">
        <v>1424</v>
      </c>
      <c r="B225" s="64">
        <v>2243.2031109386357</v>
      </c>
    </row>
    <row r="226" spans="1:2" x14ac:dyDescent="0.3">
      <c r="A226" s="61" t="s">
        <v>1425</v>
      </c>
      <c r="B226" s="64">
        <v>2278.8171056897845</v>
      </c>
    </row>
    <row r="227" spans="1:2" x14ac:dyDescent="0.3">
      <c r="A227" s="61" t="s">
        <v>1426</v>
      </c>
      <c r="B227" s="64">
        <v>2351.5966093893435</v>
      </c>
    </row>
    <row r="228" spans="1:2" x14ac:dyDescent="0.3">
      <c r="A228" s="61" t="s">
        <v>1427</v>
      </c>
      <c r="B228" s="64">
        <v>2514.3077460991885</v>
      </c>
    </row>
    <row r="229" spans="1:2" x14ac:dyDescent="0.3">
      <c r="A229" s="61" t="s">
        <v>1428</v>
      </c>
      <c r="B229" s="64">
        <v>2450.4859427189044</v>
      </c>
    </row>
    <row r="230" spans="1:2" x14ac:dyDescent="0.3">
      <c r="A230" s="61" t="s">
        <v>1429</v>
      </c>
      <c r="B230" s="64">
        <v>2563.2571631655128</v>
      </c>
    </row>
    <row r="231" spans="1:2" x14ac:dyDescent="0.3">
      <c r="A231" s="61" t="s">
        <v>1430</v>
      </c>
      <c r="B231" s="64">
        <v>2524.7029169186717</v>
      </c>
    </row>
    <row r="232" spans="1:2" x14ac:dyDescent="0.3">
      <c r="A232" s="61" t="s">
        <v>1431</v>
      </c>
      <c r="B232" s="64">
        <v>2491.1550800355549</v>
      </c>
    </row>
    <row r="233" spans="1:2" x14ac:dyDescent="0.3">
      <c r="A233" s="61" t="s">
        <v>1432</v>
      </c>
      <c r="B233" s="64">
        <v>2400.7924237849188</v>
      </c>
    </row>
    <row r="234" spans="1:2" x14ac:dyDescent="0.3">
      <c r="A234" s="61" t="s">
        <v>1433</v>
      </c>
      <c r="B234" s="64">
        <v>2381.5651679296998</v>
      </c>
    </row>
    <row r="235" spans="1:2" x14ac:dyDescent="0.3">
      <c r="A235" s="61" t="s">
        <v>1434</v>
      </c>
      <c r="B235" s="64">
        <v>2465.6891037520336</v>
      </c>
    </row>
    <row r="236" spans="1:2" x14ac:dyDescent="0.3">
      <c r="A236" s="61" t="s">
        <v>1435</v>
      </c>
      <c r="B236" s="64">
        <v>2475.9821049653774</v>
      </c>
    </row>
    <row r="237" spans="1:2" x14ac:dyDescent="0.3">
      <c r="A237" s="61" t="s">
        <v>1436</v>
      </c>
      <c r="B237" s="64">
        <v>2539.6102839006944</v>
      </c>
    </row>
    <row r="238" spans="1:2" x14ac:dyDescent="0.3">
      <c r="A238" s="61" t="s">
        <v>1437</v>
      </c>
      <c r="B238" s="64">
        <v>2545.9320595029085</v>
      </c>
    </row>
    <row r="239" spans="1:2" x14ac:dyDescent="0.3">
      <c r="A239" s="61" t="s">
        <v>1438</v>
      </c>
      <c r="B239" s="64">
        <v>2626.273122509182</v>
      </c>
    </row>
    <row r="240" spans="1:2" x14ac:dyDescent="0.3">
      <c r="A240" s="61" t="s">
        <v>1439</v>
      </c>
      <c r="B240" s="64">
        <v>2432.8799615876137</v>
      </c>
    </row>
    <row r="241" spans="1:2" x14ac:dyDescent="0.3">
      <c r="A241" s="61" t="s">
        <v>1440</v>
      </c>
      <c r="B241" s="64">
        <v>2431.1770380232842</v>
      </c>
    </row>
    <row r="242" spans="1:2" x14ac:dyDescent="0.3">
      <c r="A242" s="61" t="s">
        <v>1441</v>
      </c>
      <c r="B242" s="64">
        <v>2454.6831327853133</v>
      </c>
    </row>
    <row r="243" spans="1:2" x14ac:dyDescent="0.3">
      <c r="A243" s="61" t="s">
        <v>1442</v>
      </c>
      <c r="B243" s="64">
        <v>2697.3540211587415</v>
      </c>
    </row>
    <row r="244" spans="1:2" x14ac:dyDescent="0.3">
      <c r="A244" s="61" t="s">
        <v>1443</v>
      </c>
      <c r="B244" s="64">
        <v>2833.7236670831376</v>
      </c>
    </row>
    <row r="245" spans="1:2" x14ac:dyDescent="0.3">
      <c r="A245" s="61" t="s">
        <v>1444</v>
      </c>
      <c r="B245" s="64">
        <v>3005.8854834463787</v>
      </c>
    </row>
    <row r="246" spans="1:2" x14ac:dyDescent="0.3">
      <c r="A246" s="61" t="s">
        <v>1445</v>
      </c>
      <c r="B246" s="64">
        <v>2913.9825963570111</v>
      </c>
    </row>
    <row r="247" spans="1:2" x14ac:dyDescent="0.3">
      <c r="A247" s="61" t="s">
        <v>1446</v>
      </c>
      <c r="B247" s="64">
        <v>2789.1789114696303</v>
      </c>
    </row>
    <row r="248" spans="1:2" x14ac:dyDescent="0.3">
      <c r="A248" s="61" t="s">
        <v>1447</v>
      </c>
      <c r="B248" s="64">
        <v>2714.5981779400931</v>
      </c>
    </row>
    <row r="249" spans="1:2" x14ac:dyDescent="0.3">
      <c r="A249" s="61" t="s">
        <v>1448</v>
      </c>
      <c r="B249" s="64">
        <v>2472.343298635491</v>
      </c>
    </row>
    <row r="250" spans="1:2" x14ac:dyDescent="0.3">
      <c r="A250" s="61" t="s">
        <v>1449</v>
      </c>
      <c r="B250" s="64">
        <v>2496.9052860622132</v>
      </c>
    </row>
    <row r="251" spans="1:2" x14ac:dyDescent="0.3">
      <c r="A251" s="61" t="s">
        <v>1450</v>
      </c>
      <c r="B251" s="64">
        <v>2495.0810080708302</v>
      </c>
    </row>
    <row r="252" spans="1:2" x14ac:dyDescent="0.3">
      <c r="A252" s="61" t="s">
        <v>1451</v>
      </c>
      <c r="B252" s="64">
        <v>2684.6380296069201</v>
      </c>
    </row>
    <row r="253" spans="1:2" x14ac:dyDescent="0.3">
      <c r="A253" s="61" t="s">
        <v>1452</v>
      </c>
      <c r="B253" s="64">
        <v>2946.5341431668226</v>
      </c>
    </row>
    <row r="254" spans="1:2" x14ac:dyDescent="0.3">
      <c r="A254" s="61" t="s">
        <v>1453</v>
      </c>
      <c r="B254" s="64">
        <v>3086.2971781945848</v>
      </c>
    </row>
    <row r="255" spans="1:2" x14ac:dyDescent="0.3">
      <c r="A255" s="61" t="s">
        <v>1454</v>
      </c>
      <c r="B255" s="64">
        <v>3046.0787747442619</v>
      </c>
    </row>
    <row r="256" spans="1:2" x14ac:dyDescent="0.3">
      <c r="A256" s="61" t="s">
        <v>1455</v>
      </c>
      <c r="B256" s="64">
        <v>2956.1123242808044</v>
      </c>
    </row>
    <row r="257" spans="1:2" x14ac:dyDescent="0.3">
      <c r="A257" s="61" t="s">
        <v>1456</v>
      </c>
      <c r="B257" s="64">
        <v>2786.8734638675801</v>
      </c>
    </row>
    <row r="258" spans="1:2" x14ac:dyDescent="0.3">
      <c r="A258" s="61" t="s">
        <v>1457</v>
      </c>
      <c r="B258" s="64">
        <v>2741.3852974582956</v>
      </c>
    </row>
    <row r="259" spans="1:2" x14ac:dyDescent="0.3">
      <c r="A259" s="61" t="s">
        <v>1458</v>
      </c>
      <c r="B259" s="64">
        <v>2813.2783569667549</v>
      </c>
    </row>
    <row r="260" spans="1:2" x14ac:dyDescent="0.3">
      <c r="A260" s="61" t="s">
        <v>1459</v>
      </c>
      <c r="B260" s="64">
        <v>2805.717416712489</v>
      </c>
    </row>
    <row r="261" spans="1:2" x14ac:dyDescent="0.3">
      <c r="A261" s="61" t="s">
        <v>1460</v>
      </c>
      <c r="B261" s="64">
        <v>2601.2715450970918</v>
      </c>
    </row>
    <row r="262" spans="1:2" x14ac:dyDescent="0.3">
      <c r="A262" s="61" t="s">
        <v>1461</v>
      </c>
      <c r="B262" s="64">
        <v>2605.6373919713274</v>
      </c>
    </row>
    <row r="263" spans="1:2" x14ac:dyDescent="0.3">
      <c r="A263" s="61" t="s">
        <v>1462</v>
      </c>
      <c r="B263" s="64">
        <v>2368.2091162974762</v>
      </c>
    </row>
    <row r="264" spans="1:2" x14ac:dyDescent="0.3">
      <c r="A264" s="61" t="s">
        <v>1463</v>
      </c>
      <c r="B264" s="64">
        <v>2170.5192036277549</v>
      </c>
    </row>
    <row r="265" spans="1:2" x14ac:dyDescent="0.3">
      <c r="A265" s="61" t="s">
        <v>1464</v>
      </c>
      <c r="B265" s="64">
        <v>2086.828494823787</v>
      </c>
    </row>
    <row r="266" spans="1:2" x14ac:dyDescent="0.3">
      <c r="A266" s="61" t="s">
        <v>1465</v>
      </c>
      <c r="B266" s="64">
        <v>2123.7332863534521</v>
      </c>
    </row>
    <row r="267" spans="1:2" x14ac:dyDescent="0.3">
      <c r="A267" s="61" t="s">
        <v>1466</v>
      </c>
      <c r="B267" s="64">
        <v>2077.9939780573322</v>
      </c>
    </row>
    <row r="268" spans="1:2" x14ac:dyDescent="0.3">
      <c r="A268" s="61" t="s">
        <v>1467</v>
      </c>
      <c r="B268" s="64">
        <v>2196.5284951314202</v>
      </c>
    </row>
    <row r="269" spans="1:2" x14ac:dyDescent="0.3">
      <c r="A269" s="61" t="s">
        <v>1468</v>
      </c>
      <c r="B269" s="64">
        <v>2159.5701412245103</v>
      </c>
    </row>
    <row r="270" spans="1:2" x14ac:dyDescent="0.3">
      <c r="A270" s="61" t="s">
        <v>1469</v>
      </c>
      <c r="B270" s="64">
        <v>2063.5738473136375</v>
      </c>
    </row>
    <row r="271" spans="1:2" x14ac:dyDescent="0.3">
      <c r="A271" s="61" t="s">
        <v>1470</v>
      </c>
      <c r="B271" s="64">
        <v>2189.9611230332862</v>
      </c>
    </row>
    <row r="272" spans="1:2" x14ac:dyDescent="0.3">
      <c r="A272" s="61" t="s">
        <v>1471</v>
      </c>
      <c r="B272" s="64">
        <v>2120.5430209807128</v>
      </c>
    </row>
    <row r="273" spans="1:2" x14ac:dyDescent="0.3">
      <c r="A273" s="61" t="s">
        <v>1472</v>
      </c>
      <c r="B273" s="64">
        <v>2146.064040363136</v>
      </c>
    </row>
    <row r="274" spans="1:2" x14ac:dyDescent="0.3">
      <c r="A274" s="61" t="s">
        <v>1473</v>
      </c>
      <c r="B274" s="64">
        <v>2149.0652390974137</v>
      </c>
    </row>
    <row r="275" spans="1:2" x14ac:dyDescent="0.3">
      <c r="A275" s="61" t="s">
        <v>1474</v>
      </c>
      <c r="B275" s="64">
        <v>2233.4057734748649</v>
      </c>
    </row>
    <row r="276" spans="1:2" x14ac:dyDescent="0.3">
      <c r="A276" s="61" t="s">
        <v>1475</v>
      </c>
      <c r="B276" s="64">
        <v>2250.2885827991163</v>
      </c>
    </row>
    <row r="277" spans="1:2" x14ac:dyDescent="0.3">
      <c r="A277" s="61" t="s">
        <v>1476</v>
      </c>
      <c r="B277" s="64">
        <v>2178.4417463917171</v>
      </c>
    </row>
    <row r="278" spans="1:2" x14ac:dyDescent="0.3">
      <c r="A278" s="61" t="s">
        <v>1477</v>
      </c>
      <c r="B278" s="64">
        <v>2280.7326571398053</v>
      </c>
    </row>
    <row r="279" spans="1:2" x14ac:dyDescent="0.3">
      <c r="A279" s="61" t="s">
        <v>1478</v>
      </c>
      <c r="B279" s="64">
        <v>2199.9178527888484</v>
      </c>
    </row>
    <row r="280" spans="1:2" x14ac:dyDescent="0.3">
      <c r="A280" s="61" t="s">
        <v>1479</v>
      </c>
      <c r="B280" s="64">
        <v>2159.4536415957191</v>
      </c>
    </row>
    <row r="281" spans="1:2" x14ac:dyDescent="0.3">
      <c r="A281" s="61" t="s">
        <v>1480</v>
      </c>
      <c r="B281" s="64">
        <v>2052.59609118649</v>
      </c>
    </row>
    <row r="282" spans="1:2" x14ac:dyDescent="0.3">
      <c r="A282" s="61" t="s">
        <v>1481</v>
      </c>
      <c r="B282" s="64">
        <v>1999.9048111483403</v>
      </c>
    </row>
    <row r="283" spans="1:2" x14ac:dyDescent="0.3">
      <c r="A283" s="61" t="s">
        <v>1482</v>
      </c>
      <c r="B283" s="64">
        <v>1933.7805632294328</v>
      </c>
    </row>
    <row r="284" spans="1:2" x14ac:dyDescent="0.3">
      <c r="A284" s="61" t="s">
        <v>1483</v>
      </c>
      <c r="B284" s="64">
        <v>1960.7199224987492</v>
      </c>
    </row>
    <row r="285" spans="1:2" x14ac:dyDescent="0.3">
      <c r="A285" s="61" t="s">
        <v>1484</v>
      </c>
      <c r="B285" s="64">
        <v>2007.1935712357254</v>
      </c>
    </row>
    <row r="286" spans="1:2" x14ac:dyDescent="0.3">
      <c r="A286" s="61" t="s">
        <v>1485</v>
      </c>
      <c r="B286" s="64">
        <v>2002.1134913505005</v>
      </c>
    </row>
    <row r="287" spans="1:2" x14ac:dyDescent="0.3">
      <c r="A287" s="61" t="s">
        <v>1486</v>
      </c>
      <c r="B287" s="64">
        <v>2026.3358319679096</v>
      </c>
    </row>
    <row r="288" spans="1:2" x14ac:dyDescent="0.3">
      <c r="A288" s="61" t="s">
        <v>1487</v>
      </c>
      <c r="B288" s="64">
        <v>1834.963802707799</v>
      </c>
    </row>
    <row r="289" spans="1:2" x14ac:dyDescent="0.3">
      <c r="A289" s="61" t="s">
        <v>1488</v>
      </c>
      <c r="B289" s="64">
        <v>1866.5133342474694</v>
      </c>
    </row>
    <row r="290" spans="1:2" x14ac:dyDescent="0.3">
      <c r="A290" s="61" t="s">
        <v>1489</v>
      </c>
      <c r="B290" s="64">
        <v>1904.3005561456382</v>
      </c>
    </row>
    <row r="291" spans="1:2" x14ac:dyDescent="0.3">
      <c r="A291" s="61" t="s">
        <v>1490</v>
      </c>
      <c r="B291" s="64">
        <v>2266.9871637627839</v>
      </c>
    </row>
    <row r="292" spans="1:2" x14ac:dyDescent="0.3">
      <c r="A292" s="61" t="s">
        <v>1491</v>
      </c>
      <c r="B292" s="64">
        <v>2273.4662379043825</v>
      </c>
    </row>
    <row r="293" spans="1:2" x14ac:dyDescent="0.3">
      <c r="A293" s="61" t="s">
        <v>1492</v>
      </c>
      <c r="B293" s="64">
        <v>2211.0486483812142</v>
      </c>
    </row>
    <row r="294" spans="1:2" x14ac:dyDescent="0.3">
      <c r="A294" s="61" t="s">
        <v>1493</v>
      </c>
      <c r="B294" s="64">
        <v>2073.4366650015795</v>
      </c>
    </row>
    <row r="295" spans="1:2" x14ac:dyDescent="0.3">
      <c r="A295" s="61" t="s">
        <v>1494</v>
      </c>
      <c r="B295" s="64">
        <v>2007.4611242936321</v>
      </c>
    </row>
    <row r="296" spans="1:2" x14ac:dyDescent="0.3">
      <c r="A296" s="61" t="s">
        <v>1495</v>
      </c>
      <c r="B296" s="64">
        <v>1939.5612286494882</v>
      </c>
    </row>
    <row r="297" spans="1:2" x14ac:dyDescent="0.3">
      <c r="A297" s="61" t="s">
        <v>1496</v>
      </c>
      <c r="B297" s="64">
        <v>1936.8146885688591</v>
      </c>
    </row>
    <row r="298" spans="1:2" x14ac:dyDescent="0.3">
      <c r="A298" s="61" t="s">
        <v>1497</v>
      </c>
      <c r="B298" s="64">
        <v>1916.8572341464444</v>
      </c>
    </row>
    <row r="299" spans="1:2" x14ac:dyDescent="0.3">
      <c r="A299" s="61" t="s">
        <v>1498</v>
      </c>
      <c r="B299" s="64">
        <v>1741.3973994684077</v>
      </c>
    </row>
    <row r="300" spans="1:2" x14ac:dyDescent="0.3">
      <c r="A300" s="61" t="s">
        <v>1499</v>
      </c>
      <c r="B300" s="64">
        <v>1859.0752792255564</v>
      </c>
    </row>
    <row r="301" spans="1:2" x14ac:dyDescent="0.3">
      <c r="A301" s="61" t="s">
        <v>1500</v>
      </c>
      <c r="B301" s="64">
        <v>1884.1856182897247</v>
      </c>
    </row>
    <row r="302" spans="1:2" x14ac:dyDescent="0.3">
      <c r="A302" s="61" t="s">
        <v>1501</v>
      </c>
      <c r="B302" s="64">
        <v>1968.5767024389925</v>
      </c>
    </row>
    <row r="303" spans="1:2" x14ac:dyDescent="0.3">
      <c r="A303" s="61" t="s">
        <v>1502</v>
      </c>
      <c r="B303" s="64">
        <v>1971.18314229057</v>
      </c>
    </row>
    <row r="304" spans="1:2" ht="17.25" thickBot="1" x14ac:dyDescent="0.35">
      <c r="A304" s="62" t="s">
        <v>1503</v>
      </c>
      <c r="B304" s="68">
        <v>1867.710648688749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imulating_Stock_Process1">
                <anchor>
                  <from>
                    <xdr:col>2</xdr:col>
                    <xdr:colOff>676275</xdr:colOff>
                    <xdr:row>0</xdr:row>
                    <xdr:rowOff>0</xdr:rowOff>
                  </from>
                  <to>
                    <xdr:col>7</xdr:col>
                    <xdr:colOff>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7F522-0F32-4243-B65E-C9E8FC688137}">
  <sheetPr codeName="Sheet5"/>
  <dimension ref="A1:O67"/>
  <sheetViews>
    <sheetView zoomScale="70" zoomScaleNormal="70" workbookViewId="0">
      <pane xSplit="1" topLeftCell="B1" activePane="topRight" state="frozen"/>
      <selection pane="topRight" activeCell="I18" sqref="I18"/>
    </sheetView>
  </sheetViews>
  <sheetFormatPr defaultRowHeight="16.5" x14ac:dyDescent="0.3"/>
  <cols>
    <col min="1" max="1" width="15.875" bestFit="1" customWidth="1"/>
    <col min="2" max="2" width="123.125" bestFit="1" customWidth="1"/>
    <col min="3" max="3" width="14.375" bestFit="1" customWidth="1"/>
    <col min="4" max="4" width="23.875" bestFit="1" customWidth="1"/>
    <col min="5" max="5" width="16.625" bestFit="1" customWidth="1"/>
    <col min="6" max="6" width="16.5" customWidth="1"/>
    <col min="7" max="7" width="12.125" bestFit="1" customWidth="1"/>
    <col min="8" max="8" width="30" bestFit="1" customWidth="1"/>
    <col min="9" max="10" width="11.75" bestFit="1" customWidth="1"/>
    <col min="11" max="11" width="76" customWidth="1"/>
    <col min="12" max="12" width="18.75" bestFit="1" customWidth="1"/>
    <col min="13" max="14" width="11.75" bestFit="1" customWidth="1"/>
    <col min="15" max="15" width="60.875" bestFit="1" customWidth="1"/>
  </cols>
  <sheetData>
    <row r="1" spans="1:15" x14ac:dyDescent="0.3">
      <c r="A1" s="79" t="s">
        <v>9</v>
      </c>
      <c r="B1" s="96" t="s">
        <v>1005</v>
      </c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8"/>
    </row>
    <row r="2" spans="1:15" x14ac:dyDescent="0.3">
      <c r="A2" s="80" t="s">
        <v>896</v>
      </c>
      <c r="B2" s="8" t="s">
        <v>1006</v>
      </c>
      <c r="C2" s="3" t="s">
        <v>1007</v>
      </c>
      <c r="D2" s="3" t="s">
        <v>8</v>
      </c>
      <c r="E2" s="102" t="s">
        <v>1008</v>
      </c>
      <c r="F2" s="102"/>
      <c r="G2" s="102"/>
      <c r="H2" s="102"/>
      <c r="I2" s="102"/>
      <c r="J2" s="102"/>
      <c r="K2" s="102"/>
      <c r="L2" s="102"/>
      <c r="M2" s="102"/>
      <c r="N2" s="102"/>
      <c r="O2" s="103"/>
    </row>
    <row r="3" spans="1:15" x14ac:dyDescent="0.3">
      <c r="A3" s="81" t="s">
        <v>1046</v>
      </c>
      <c r="B3" s="87" t="s">
        <v>1891</v>
      </c>
      <c r="C3" s="60" t="s">
        <v>1626</v>
      </c>
      <c r="D3" s="60" t="s">
        <v>1892</v>
      </c>
      <c r="E3" s="112" t="s">
        <v>1893</v>
      </c>
      <c r="F3" s="112"/>
      <c r="G3" s="112"/>
      <c r="H3" s="112"/>
      <c r="I3" s="112"/>
      <c r="J3" s="112"/>
      <c r="K3" s="112"/>
      <c r="L3" s="112"/>
      <c r="M3" s="112"/>
      <c r="N3" s="112"/>
      <c r="O3" s="113"/>
    </row>
    <row r="4" spans="1:15" x14ac:dyDescent="0.3">
      <c r="A4" s="82">
        <v>6770</v>
      </c>
      <c r="B4" s="87" t="s">
        <v>1894</v>
      </c>
      <c r="C4" s="60" t="s">
        <v>1605</v>
      </c>
      <c r="D4" s="60" t="s">
        <v>1895</v>
      </c>
      <c r="E4" s="112" t="s">
        <v>1896</v>
      </c>
      <c r="F4" s="112"/>
      <c r="G4" s="112"/>
      <c r="H4" s="112"/>
      <c r="I4" s="112"/>
      <c r="J4" s="112"/>
      <c r="K4" s="112"/>
      <c r="L4" s="112"/>
      <c r="M4" s="112"/>
      <c r="N4" s="112"/>
      <c r="O4" s="113"/>
    </row>
    <row r="5" spans="1:15" x14ac:dyDescent="0.3">
      <c r="A5" s="81" t="s">
        <v>1047</v>
      </c>
      <c r="B5" s="87" t="s">
        <v>1897</v>
      </c>
      <c r="C5" s="60" t="s">
        <v>1593</v>
      </c>
      <c r="D5" s="60" t="s">
        <v>1898</v>
      </c>
      <c r="E5" s="112" t="s">
        <v>1899</v>
      </c>
      <c r="F5" s="112"/>
      <c r="G5" s="112"/>
      <c r="H5" s="112"/>
      <c r="I5" s="112"/>
      <c r="J5" s="112"/>
      <c r="K5" s="112"/>
      <c r="L5" s="112"/>
      <c r="M5" s="112"/>
      <c r="N5" s="112"/>
      <c r="O5" s="113"/>
    </row>
    <row r="6" spans="1:15" x14ac:dyDescent="0.3">
      <c r="A6" s="83" t="s">
        <v>1923</v>
      </c>
      <c r="B6" s="87" t="s">
        <v>1900</v>
      </c>
      <c r="C6" s="60" t="s">
        <v>1627</v>
      </c>
      <c r="D6" s="60" t="s">
        <v>1901</v>
      </c>
      <c r="E6" s="112" t="s">
        <v>1902</v>
      </c>
      <c r="F6" s="112"/>
      <c r="G6" s="112"/>
      <c r="H6" s="112"/>
      <c r="I6" s="112"/>
      <c r="J6" s="112"/>
      <c r="K6" s="112"/>
      <c r="L6" s="112"/>
      <c r="M6" s="112"/>
      <c r="N6" s="112"/>
      <c r="O6" s="113"/>
    </row>
    <row r="7" spans="1:15" x14ac:dyDescent="0.3">
      <c r="A7" s="81" t="s">
        <v>1048</v>
      </c>
      <c r="B7" s="87" t="s">
        <v>1903</v>
      </c>
      <c r="C7" s="60" t="s">
        <v>1628</v>
      </c>
      <c r="D7" s="60" t="s">
        <v>1904</v>
      </c>
      <c r="E7" s="112" t="s">
        <v>1905</v>
      </c>
      <c r="F7" s="112"/>
      <c r="G7" s="112"/>
      <c r="H7" s="112"/>
      <c r="I7" s="112"/>
      <c r="J7" s="112"/>
      <c r="K7" s="112"/>
      <c r="L7" s="112"/>
      <c r="M7" s="112"/>
      <c r="N7" s="112"/>
      <c r="O7" s="113"/>
    </row>
    <row r="8" spans="1:15" x14ac:dyDescent="0.3">
      <c r="A8" s="84">
        <v>0.18770000000000001</v>
      </c>
      <c r="B8" s="87" t="s">
        <v>1906</v>
      </c>
      <c r="C8" s="60" t="s">
        <v>1627</v>
      </c>
      <c r="D8" s="60" t="s">
        <v>1907</v>
      </c>
      <c r="E8" s="112" t="s">
        <v>1908</v>
      </c>
      <c r="F8" s="112"/>
      <c r="G8" s="112"/>
      <c r="H8" s="112"/>
      <c r="I8" s="112"/>
      <c r="J8" s="112"/>
      <c r="K8" s="112"/>
      <c r="L8" s="112"/>
      <c r="M8" s="112"/>
      <c r="N8" s="112"/>
      <c r="O8" s="113"/>
    </row>
    <row r="9" spans="1:15" x14ac:dyDescent="0.3">
      <c r="A9" s="81" t="s">
        <v>1049</v>
      </c>
      <c r="B9" s="87" t="s">
        <v>1909</v>
      </c>
      <c r="C9" s="60" t="s">
        <v>1627</v>
      </c>
      <c r="D9" s="60" t="s">
        <v>1910</v>
      </c>
      <c r="E9" s="112" t="s">
        <v>1911</v>
      </c>
      <c r="F9" s="112"/>
      <c r="G9" s="112"/>
      <c r="H9" s="112"/>
      <c r="I9" s="112"/>
      <c r="J9" s="112"/>
      <c r="K9" s="112"/>
      <c r="L9" s="112"/>
      <c r="M9" s="112"/>
      <c r="N9" s="112"/>
      <c r="O9" s="113"/>
    </row>
    <row r="10" spans="1:15" x14ac:dyDescent="0.3">
      <c r="A10" s="82">
        <v>5700</v>
      </c>
      <c r="B10" s="87" t="s">
        <v>1912</v>
      </c>
      <c r="C10" s="60" t="s">
        <v>1627</v>
      </c>
      <c r="D10" s="60" t="s">
        <v>1913</v>
      </c>
      <c r="E10" s="112" t="s">
        <v>1914</v>
      </c>
      <c r="F10" s="112"/>
      <c r="G10" s="112"/>
      <c r="H10" s="112"/>
      <c r="I10" s="112"/>
      <c r="J10" s="112"/>
      <c r="K10" s="112"/>
      <c r="L10" s="112"/>
      <c r="M10" s="112"/>
      <c r="N10" s="112"/>
      <c r="O10" s="113"/>
    </row>
    <row r="11" spans="1:15" x14ac:dyDescent="0.3">
      <c r="A11" s="85" t="s">
        <v>1050</v>
      </c>
      <c r="B11" s="87" t="s">
        <v>1915</v>
      </c>
      <c r="C11" s="60" t="s">
        <v>1627</v>
      </c>
      <c r="D11" s="60" t="s">
        <v>1916</v>
      </c>
      <c r="E11" s="112" t="s">
        <v>1917</v>
      </c>
      <c r="F11" s="112"/>
      <c r="G11" s="112"/>
      <c r="H11" s="112"/>
      <c r="I11" s="112"/>
      <c r="J11" s="112"/>
      <c r="K11" s="112"/>
      <c r="L11" s="112"/>
      <c r="M11" s="112"/>
      <c r="N11" s="112"/>
      <c r="O11" s="113"/>
    </row>
    <row r="12" spans="1:15" ht="17.25" thickBot="1" x14ac:dyDescent="0.35">
      <c r="A12" s="86">
        <v>2.87E-2</v>
      </c>
      <c r="B12" s="88" t="s">
        <v>1918</v>
      </c>
      <c r="C12" s="63" t="s">
        <v>1627</v>
      </c>
      <c r="D12" s="63" t="s">
        <v>1919</v>
      </c>
      <c r="E12" s="114" t="s">
        <v>1920</v>
      </c>
      <c r="F12" s="114"/>
      <c r="G12" s="114"/>
      <c r="H12" s="114"/>
      <c r="I12" s="114"/>
      <c r="J12" s="114"/>
      <c r="K12" s="114"/>
      <c r="L12" s="114"/>
      <c r="M12" s="114"/>
      <c r="N12" s="114"/>
      <c r="O12" s="115"/>
    </row>
    <row r="13" spans="1:15" ht="17.25" thickBot="1" x14ac:dyDescent="0.35">
      <c r="A13" s="19" t="s">
        <v>1075</v>
      </c>
    </row>
    <row r="14" spans="1:15" x14ac:dyDescent="0.3">
      <c r="A14" s="44" t="s">
        <v>1097</v>
      </c>
      <c r="B14" s="45" t="s">
        <v>1052</v>
      </c>
      <c r="C14" s="99" t="s">
        <v>1042</v>
      </c>
      <c r="D14" s="100"/>
      <c r="E14" s="100"/>
      <c r="F14" s="100"/>
      <c r="G14" s="101"/>
      <c r="H14" s="99" t="s">
        <v>1168</v>
      </c>
      <c r="I14" s="100"/>
      <c r="J14" s="100"/>
      <c r="K14" s="100"/>
      <c r="L14" s="100"/>
      <c r="M14" s="100"/>
      <c r="N14" s="100"/>
      <c r="O14" s="101"/>
    </row>
    <row r="15" spans="1:15" x14ac:dyDescent="0.3">
      <c r="A15" s="19" t="s">
        <v>1038</v>
      </c>
      <c r="B15" s="119" t="s">
        <v>1924</v>
      </c>
      <c r="C15" s="8" t="s">
        <v>1014</v>
      </c>
      <c r="D15" s="3" t="s">
        <v>1191</v>
      </c>
      <c r="E15" s="3" t="s">
        <v>1182</v>
      </c>
      <c r="F15" s="3" t="s">
        <v>1181</v>
      </c>
      <c r="G15" s="50" t="s">
        <v>1193</v>
      </c>
      <c r="H15" s="75" t="s">
        <v>1169</v>
      </c>
      <c r="I15" s="3" t="s">
        <v>1171</v>
      </c>
      <c r="J15" s="73" t="s">
        <v>1170</v>
      </c>
      <c r="K15" s="92" t="s">
        <v>1172</v>
      </c>
      <c r="L15" s="38" t="s">
        <v>1570</v>
      </c>
      <c r="M15" s="3" t="s">
        <v>1571</v>
      </c>
      <c r="N15" s="73" t="s">
        <v>1572</v>
      </c>
      <c r="O15" s="9" t="s">
        <v>1573</v>
      </c>
    </row>
    <row r="16" spans="1:15" ht="17.25" thickBot="1" x14ac:dyDescent="0.35">
      <c r="A16" s="20" t="s">
        <v>1921</v>
      </c>
      <c r="B16" s="120"/>
      <c r="C16" s="12">
        <v>5686</v>
      </c>
      <c r="D16" s="4">
        <v>7.9399999999999998E-2</v>
      </c>
      <c r="E16" s="28">
        <v>500</v>
      </c>
      <c r="F16" s="28">
        <v>119</v>
      </c>
      <c r="G16" s="51" t="str">
        <f>IFERROR((D24*A4)/E16,"N/A")</f>
        <v>N/A</v>
      </c>
      <c r="H16" s="8" t="s">
        <v>1183</v>
      </c>
      <c r="I16" s="42">
        <f>IFERROR(D20*E18*100,"N/A")</f>
        <v>7035.93</v>
      </c>
      <c r="J16" s="40" t="s">
        <v>1584</v>
      </c>
      <c r="K16" s="93" t="s">
        <v>1184</v>
      </c>
      <c r="L16" s="38" t="s">
        <v>1579</v>
      </c>
      <c r="M16" s="89">
        <f>IFERROR(D20 * C20,"N/A")</f>
        <v>6780.4000000000005</v>
      </c>
      <c r="N16" s="40" t="s">
        <v>1584</v>
      </c>
      <c r="O16" s="9" t="s">
        <v>1574</v>
      </c>
    </row>
    <row r="17" spans="2:15" x14ac:dyDescent="0.3">
      <c r="B17" s="120"/>
      <c r="C17" s="8" t="s">
        <v>1041</v>
      </c>
      <c r="D17" s="3" t="s">
        <v>1186</v>
      </c>
      <c r="E17" s="3" t="s">
        <v>1054</v>
      </c>
      <c r="F17" s="3" t="s">
        <v>1055</v>
      </c>
      <c r="G17" s="9" t="s">
        <v>1199</v>
      </c>
      <c r="H17" s="30" t="s">
        <v>1173</v>
      </c>
      <c r="I17" s="43">
        <f>IFERROR(E24*E18*100,"N/A")</f>
        <v>4254.93</v>
      </c>
      <c r="J17" s="40" t="s">
        <v>1195</v>
      </c>
      <c r="K17" s="94" t="s">
        <v>1185</v>
      </c>
      <c r="L17" s="38" t="s">
        <v>1583</v>
      </c>
      <c r="M17" s="89" t="str">
        <f>IFERROR((G16 * E16) / D24,"N/A")</f>
        <v>N/A</v>
      </c>
      <c r="N17" s="40" t="s">
        <v>1519</v>
      </c>
      <c r="O17" s="9" t="s">
        <v>1575</v>
      </c>
    </row>
    <row r="18" spans="2:15" x14ac:dyDescent="0.3">
      <c r="B18" s="120"/>
      <c r="C18" s="12" t="s">
        <v>1519</v>
      </c>
      <c r="D18" s="4">
        <v>1.26E-2</v>
      </c>
      <c r="E18" s="13">
        <v>0.27810000000000001</v>
      </c>
      <c r="F18" s="4">
        <v>0.1009</v>
      </c>
      <c r="G18" s="56">
        <v>84000000</v>
      </c>
      <c r="H18" s="76" t="s">
        <v>1188</v>
      </c>
      <c r="I18" s="42" t="str">
        <f>IFERROR(D20*((A4/D20)*(1+G16/2)),"N/A")</f>
        <v>N/A</v>
      </c>
      <c r="J18" s="40" t="s">
        <v>1519</v>
      </c>
      <c r="K18" s="94" t="s">
        <v>1187</v>
      </c>
      <c r="L18" s="38" t="s">
        <v>1580</v>
      </c>
      <c r="M18" s="89">
        <f>IFERROR(D20 * E20,"N/A")</f>
        <v>5479.9800000000005</v>
      </c>
      <c r="N18" s="40" t="s">
        <v>1195</v>
      </c>
      <c r="O18" s="9" t="s">
        <v>1576</v>
      </c>
    </row>
    <row r="19" spans="2:15" x14ac:dyDescent="0.3">
      <c r="B19" s="120"/>
      <c r="C19" s="8" t="s">
        <v>1177</v>
      </c>
      <c r="D19" s="3" t="s">
        <v>1174</v>
      </c>
      <c r="E19" s="3" t="s">
        <v>1178</v>
      </c>
      <c r="F19" s="3" t="s">
        <v>1063</v>
      </c>
      <c r="G19" s="46"/>
      <c r="H19" s="8" t="s">
        <v>1189</v>
      </c>
      <c r="I19" s="42">
        <f>IFERROR((F22+F24)*0.5*(A4/A10),"N/A")</f>
        <v>4563.8114035087719</v>
      </c>
      <c r="J19" s="40" t="s">
        <v>1195</v>
      </c>
      <c r="K19" s="93" t="s">
        <v>1190</v>
      </c>
      <c r="L19" s="38" t="s">
        <v>1581</v>
      </c>
      <c r="M19" s="89">
        <f>IFERROR((E18*100*D20)/2,"N/A")</f>
        <v>3517.9650000000001</v>
      </c>
      <c r="N19" s="40" t="s">
        <v>1195</v>
      </c>
      <c r="O19" s="9" t="s">
        <v>1577</v>
      </c>
    </row>
    <row r="20" spans="2:15" x14ac:dyDescent="0.3">
      <c r="B20" s="120"/>
      <c r="C20" s="5">
        <v>26.8</v>
      </c>
      <c r="D20" s="28">
        <v>253</v>
      </c>
      <c r="E20" s="1">
        <v>21.66</v>
      </c>
      <c r="F20" s="4">
        <v>108.1242</v>
      </c>
      <c r="G20" s="47"/>
      <c r="H20" s="124" t="s">
        <v>1198</v>
      </c>
      <c r="I20" s="42" t="str">
        <f>IFERROR(D22*E18/ABS(D16-G16),"N/A")</f>
        <v>N/A</v>
      </c>
      <c r="J20" s="40" t="s">
        <v>1519</v>
      </c>
      <c r="K20" s="93" t="s">
        <v>1192</v>
      </c>
      <c r="L20" s="38" t="s">
        <v>1582</v>
      </c>
      <c r="M20" s="89">
        <f>IFERROR((D22*(1+E18)^5)/((1+D16)^5),"N/A")</f>
        <v>2658.1421953963072</v>
      </c>
      <c r="N20" s="40" t="s">
        <v>1195</v>
      </c>
      <c r="O20" s="9" t="s">
        <v>1578</v>
      </c>
    </row>
    <row r="21" spans="2:15" x14ac:dyDescent="0.3">
      <c r="B21" s="120"/>
      <c r="C21" s="8" t="s">
        <v>1176</v>
      </c>
      <c r="D21" s="3" t="s">
        <v>1175</v>
      </c>
      <c r="E21" s="3" t="s">
        <v>1179</v>
      </c>
      <c r="F21" s="3" t="s">
        <v>1064</v>
      </c>
      <c r="G21" s="46"/>
      <c r="H21" s="125"/>
      <c r="I21" s="77">
        <f>IFERROR(D22*E18/D16+D20*(E18-D16)/2,"N/A")</f>
        <v>4025.0121243073054</v>
      </c>
      <c r="J21" s="40" t="s">
        <v>1195</v>
      </c>
      <c r="K21" s="93" t="s">
        <v>1196</v>
      </c>
      <c r="L21" s="38"/>
      <c r="M21" s="89"/>
      <c r="N21" s="40"/>
      <c r="O21" s="9"/>
    </row>
    <row r="22" spans="2:15" x14ac:dyDescent="0.3">
      <c r="B22" s="120"/>
      <c r="C22" s="5">
        <v>5.94</v>
      </c>
      <c r="D22" s="28">
        <v>1142</v>
      </c>
      <c r="E22" s="28">
        <v>165</v>
      </c>
      <c r="F22" s="35">
        <v>6540</v>
      </c>
      <c r="G22" s="48"/>
      <c r="H22" s="125"/>
      <c r="I22" s="53" t="str">
        <f>IFERROR(D22*E18/D16+D20*(G16/D16)/1,"N/A")</f>
        <v>N/A</v>
      </c>
      <c r="J22" s="40" t="s">
        <v>1519</v>
      </c>
      <c r="K22" s="93" t="s">
        <v>1194</v>
      </c>
      <c r="L22" s="38"/>
      <c r="M22" s="89"/>
      <c r="N22" s="40"/>
      <c r="O22" s="9"/>
    </row>
    <row r="23" spans="2:15" x14ac:dyDescent="0.3">
      <c r="B23" s="120"/>
      <c r="C23" s="10" t="s">
        <v>1039</v>
      </c>
      <c r="D23" s="3" t="s">
        <v>1040</v>
      </c>
      <c r="E23" s="3" t="s">
        <v>1180</v>
      </c>
      <c r="F23" s="3" t="s">
        <v>1065</v>
      </c>
      <c r="G23" s="46"/>
      <c r="H23" s="126"/>
      <c r="I23" s="53" t="str">
        <f>IFERROR((D20*6+D22/4+G16*E16*4)*(E18/D16),"N/A")</f>
        <v>N/A</v>
      </c>
      <c r="J23" s="40" t="s">
        <v>1519</v>
      </c>
      <c r="K23" s="93" t="s">
        <v>1197</v>
      </c>
      <c r="L23" s="38"/>
      <c r="M23" s="89"/>
      <c r="N23" s="40"/>
      <c r="O23" s="9"/>
    </row>
    <row r="24" spans="2:15" ht="17.25" thickBot="1" x14ac:dyDescent="0.35">
      <c r="B24" s="121"/>
      <c r="C24" s="14" t="s">
        <v>1519</v>
      </c>
      <c r="D24" s="11" t="s">
        <v>1922</v>
      </c>
      <c r="E24" s="29">
        <v>153</v>
      </c>
      <c r="F24" s="52">
        <v>1145</v>
      </c>
      <c r="G24" s="49"/>
      <c r="H24" s="78" t="s">
        <v>1200</v>
      </c>
      <c r="I24" s="54">
        <f>IFERROR((F16*100000000*C20)/G18,"N/A")</f>
        <v>3796.6666666666665</v>
      </c>
      <c r="J24" s="55" t="s">
        <v>1195</v>
      </c>
      <c r="K24" s="95" t="s">
        <v>1201</v>
      </c>
      <c r="L24" s="91"/>
      <c r="M24" s="90"/>
      <c r="N24" s="55"/>
      <c r="O24" s="41"/>
    </row>
    <row r="25" spans="2:15" ht="17.25" thickBot="1" x14ac:dyDescent="0.35"/>
    <row r="26" spans="2:15" x14ac:dyDescent="0.3">
      <c r="B26" s="96" t="s">
        <v>1053</v>
      </c>
      <c r="C26" s="97"/>
      <c r="D26" s="97"/>
      <c r="E26" s="97"/>
      <c r="F26" s="97"/>
      <c r="G26" s="118"/>
      <c r="H26" s="118"/>
      <c r="I26" s="118"/>
      <c r="J26" s="118"/>
      <c r="K26" s="98"/>
    </row>
    <row r="27" spans="2:15" x14ac:dyDescent="0.3">
      <c r="B27" s="8" t="s">
        <v>1006</v>
      </c>
      <c r="C27" s="128" t="s">
        <v>1051</v>
      </c>
      <c r="D27" s="129"/>
      <c r="E27" s="102" t="s">
        <v>1008</v>
      </c>
      <c r="F27" s="102"/>
      <c r="G27" s="128"/>
      <c r="H27" s="128"/>
      <c r="I27" s="128"/>
      <c r="J27" s="128"/>
      <c r="K27" s="103"/>
    </row>
    <row r="28" spans="2:15" x14ac:dyDescent="0.3">
      <c r="B28" s="5" t="s">
        <v>1925</v>
      </c>
      <c r="C28" s="122" t="s">
        <v>1926</v>
      </c>
      <c r="D28" s="123"/>
      <c r="E28" s="112" t="s">
        <v>1927</v>
      </c>
      <c r="F28" s="112"/>
      <c r="G28" s="116"/>
      <c r="H28" s="116"/>
      <c r="I28" s="116"/>
      <c r="J28" s="116"/>
      <c r="K28" s="113"/>
    </row>
    <row r="29" spans="2:15" x14ac:dyDescent="0.3">
      <c r="B29" s="5" t="s">
        <v>1928</v>
      </c>
      <c r="C29" s="122" t="s">
        <v>1929</v>
      </c>
      <c r="D29" s="123"/>
      <c r="E29" s="112" t="s">
        <v>1930</v>
      </c>
      <c r="F29" s="112"/>
      <c r="G29" s="116"/>
      <c r="H29" s="116"/>
      <c r="I29" s="116"/>
      <c r="J29" s="116"/>
      <c r="K29" s="113"/>
    </row>
    <row r="30" spans="2:15" x14ac:dyDescent="0.3">
      <c r="B30" s="5" t="s">
        <v>1931</v>
      </c>
      <c r="C30" s="122" t="s">
        <v>1932</v>
      </c>
      <c r="D30" s="123"/>
      <c r="E30" s="112" t="s">
        <v>1933</v>
      </c>
      <c r="F30" s="112"/>
      <c r="G30" s="116"/>
      <c r="H30" s="116"/>
      <c r="I30" s="116"/>
      <c r="J30" s="116"/>
      <c r="K30" s="113"/>
    </row>
    <row r="31" spans="2:15" x14ac:dyDescent="0.3">
      <c r="B31" s="5" t="s">
        <v>1934</v>
      </c>
      <c r="C31" s="122" t="s">
        <v>1935</v>
      </c>
      <c r="D31" s="123"/>
      <c r="E31" s="112" t="s">
        <v>1936</v>
      </c>
      <c r="F31" s="112"/>
      <c r="G31" s="116"/>
      <c r="H31" s="116"/>
      <c r="I31" s="116"/>
      <c r="J31" s="116"/>
      <c r="K31" s="113"/>
    </row>
    <row r="32" spans="2:15" x14ac:dyDescent="0.3">
      <c r="B32" s="5" t="s">
        <v>1937</v>
      </c>
      <c r="C32" s="122" t="s">
        <v>1938</v>
      </c>
      <c r="D32" s="123"/>
      <c r="E32" s="112" t="s">
        <v>1939</v>
      </c>
      <c r="F32" s="112"/>
      <c r="G32" s="116"/>
      <c r="H32" s="116"/>
      <c r="I32" s="116"/>
      <c r="J32" s="116"/>
      <c r="K32" s="113"/>
    </row>
    <row r="33" spans="2:11" x14ac:dyDescent="0.3">
      <c r="B33" s="5" t="s">
        <v>1940</v>
      </c>
      <c r="C33" s="122" t="s">
        <v>1941</v>
      </c>
      <c r="D33" s="123"/>
      <c r="E33" s="112" t="s">
        <v>1942</v>
      </c>
      <c r="F33" s="112"/>
      <c r="G33" s="116"/>
      <c r="H33" s="116"/>
      <c r="I33" s="116"/>
      <c r="J33" s="116"/>
      <c r="K33" s="113"/>
    </row>
    <row r="34" spans="2:11" x14ac:dyDescent="0.3">
      <c r="B34" s="5" t="s">
        <v>1943</v>
      </c>
      <c r="C34" s="122" t="s">
        <v>1944</v>
      </c>
      <c r="D34" s="123"/>
      <c r="E34" s="112" t="s">
        <v>1945</v>
      </c>
      <c r="F34" s="112"/>
      <c r="G34" s="116"/>
      <c r="H34" s="116"/>
      <c r="I34" s="116"/>
      <c r="J34" s="116"/>
      <c r="K34" s="113"/>
    </row>
    <row r="35" spans="2:11" x14ac:dyDescent="0.3">
      <c r="B35" s="5" t="s">
        <v>1946</v>
      </c>
      <c r="C35" s="122" t="s">
        <v>1947</v>
      </c>
      <c r="D35" s="123"/>
      <c r="E35" s="112" t="s">
        <v>1948</v>
      </c>
      <c r="F35" s="112"/>
      <c r="G35" s="116"/>
      <c r="H35" s="116"/>
      <c r="I35" s="116"/>
      <c r="J35" s="116"/>
      <c r="K35" s="113"/>
    </row>
    <row r="36" spans="2:11" x14ac:dyDescent="0.3">
      <c r="B36" s="5" t="s">
        <v>1949</v>
      </c>
      <c r="C36" s="122" t="s">
        <v>1950</v>
      </c>
      <c r="D36" s="123"/>
      <c r="E36" s="112" t="s">
        <v>1951</v>
      </c>
      <c r="F36" s="112"/>
      <c r="G36" s="116"/>
      <c r="H36" s="116"/>
      <c r="I36" s="116"/>
      <c r="J36" s="116"/>
      <c r="K36" s="113"/>
    </row>
    <row r="37" spans="2:11" x14ac:dyDescent="0.3">
      <c r="B37" s="5" t="s">
        <v>1952</v>
      </c>
      <c r="C37" s="122" t="s">
        <v>1953</v>
      </c>
      <c r="D37" s="123"/>
      <c r="E37" s="112" t="s">
        <v>1954</v>
      </c>
      <c r="F37" s="112"/>
      <c r="G37" s="116"/>
      <c r="H37" s="116"/>
      <c r="I37" s="116"/>
      <c r="J37" s="116"/>
      <c r="K37" s="113"/>
    </row>
    <row r="38" spans="2:11" x14ac:dyDescent="0.3">
      <c r="B38" s="5" t="s">
        <v>1955</v>
      </c>
      <c r="C38" s="122" t="s">
        <v>1956</v>
      </c>
      <c r="D38" s="123"/>
      <c r="E38" s="112" t="s">
        <v>1957</v>
      </c>
      <c r="F38" s="112"/>
      <c r="G38" s="116"/>
      <c r="H38" s="116"/>
      <c r="I38" s="116"/>
      <c r="J38" s="116"/>
      <c r="K38" s="113"/>
    </row>
    <row r="39" spans="2:11" x14ac:dyDescent="0.3">
      <c r="B39" s="5" t="s">
        <v>1958</v>
      </c>
      <c r="C39" s="122" t="s">
        <v>1932</v>
      </c>
      <c r="D39" s="123"/>
      <c r="E39" s="112" t="s">
        <v>1959</v>
      </c>
      <c r="F39" s="112"/>
      <c r="G39" s="116"/>
      <c r="H39" s="116"/>
      <c r="I39" s="116"/>
      <c r="J39" s="116"/>
      <c r="K39" s="113"/>
    </row>
    <row r="40" spans="2:11" x14ac:dyDescent="0.3">
      <c r="B40" s="5" t="s">
        <v>1960</v>
      </c>
      <c r="C40" s="122" t="s">
        <v>1961</v>
      </c>
      <c r="D40" s="123"/>
      <c r="E40" s="112" t="s">
        <v>1962</v>
      </c>
      <c r="F40" s="112"/>
      <c r="G40" s="116"/>
      <c r="H40" s="116"/>
      <c r="I40" s="116"/>
      <c r="J40" s="116"/>
      <c r="K40" s="113"/>
    </row>
    <row r="41" spans="2:11" x14ac:dyDescent="0.3">
      <c r="B41" s="5" t="s">
        <v>1963</v>
      </c>
      <c r="C41" s="122" t="s">
        <v>1964</v>
      </c>
      <c r="D41" s="123"/>
      <c r="E41" s="112" t="s">
        <v>1965</v>
      </c>
      <c r="F41" s="112"/>
      <c r="G41" s="116"/>
      <c r="H41" s="116"/>
      <c r="I41" s="116"/>
      <c r="J41" s="116"/>
      <c r="K41" s="113"/>
    </row>
    <row r="42" spans="2:11" x14ac:dyDescent="0.3">
      <c r="B42" s="5" t="s">
        <v>1966</v>
      </c>
      <c r="C42" s="122" t="s">
        <v>1967</v>
      </c>
      <c r="D42" s="123"/>
      <c r="E42" s="112" t="s">
        <v>1968</v>
      </c>
      <c r="F42" s="112"/>
      <c r="G42" s="116"/>
      <c r="H42" s="116"/>
      <c r="I42" s="116"/>
      <c r="J42" s="116"/>
      <c r="K42" s="113"/>
    </row>
    <row r="43" spans="2:11" x14ac:dyDescent="0.3">
      <c r="B43" s="87" t="s">
        <v>1969</v>
      </c>
      <c r="C43" s="122" t="s">
        <v>1938</v>
      </c>
      <c r="D43" s="123"/>
      <c r="E43" s="112" t="s">
        <v>1970</v>
      </c>
      <c r="F43" s="112"/>
      <c r="G43" s="116"/>
      <c r="H43" s="116"/>
      <c r="I43" s="116"/>
      <c r="J43" s="116"/>
      <c r="K43" s="113"/>
    </row>
    <row r="44" spans="2:11" x14ac:dyDescent="0.3">
      <c r="B44" s="5" t="s">
        <v>1971</v>
      </c>
      <c r="C44" s="122" t="s">
        <v>1972</v>
      </c>
      <c r="D44" s="123"/>
      <c r="E44" s="112" t="s">
        <v>1973</v>
      </c>
      <c r="F44" s="112"/>
      <c r="G44" s="116"/>
      <c r="H44" s="116"/>
      <c r="I44" s="116"/>
      <c r="J44" s="116"/>
      <c r="K44" s="113"/>
    </row>
    <row r="45" spans="2:11" x14ac:dyDescent="0.3">
      <c r="B45" s="5" t="s">
        <v>1974</v>
      </c>
      <c r="C45" s="122" t="s">
        <v>1975</v>
      </c>
      <c r="D45" s="123"/>
      <c r="E45" s="112" t="s">
        <v>1976</v>
      </c>
      <c r="F45" s="112"/>
      <c r="G45" s="116"/>
      <c r="H45" s="116"/>
      <c r="I45" s="116"/>
      <c r="J45" s="116"/>
      <c r="K45" s="113"/>
    </row>
    <row r="46" spans="2:11" x14ac:dyDescent="0.3">
      <c r="B46" s="87" t="s">
        <v>1977</v>
      </c>
      <c r="C46" s="122" t="s">
        <v>1978</v>
      </c>
      <c r="D46" s="123"/>
      <c r="E46" s="112" t="s">
        <v>1979</v>
      </c>
      <c r="F46" s="112"/>
      <c r="G46" s="116"/>
      <c r="H46" s="116"/>
      <c r="I46" s="116"/>
      <c r="J46" s="116"/>
      <c r="K46" s="113"/>
    </row>
    <row r="47" spans="2:11" x14ac:dyDescent="0.3">
      <c r="B47" s="5" t="s">
        <v>1980</v>
      </c>
      <c r="C47" s="122" t="s">
        <v>1981</v>
      </c>
      <c r="D47" s="123"/>
      <c r="E47" s="112" t="s">
        <v>1982</v>
      </c>
      <c r="F47" s="112"/>
      <c r="G47" s="116"/>
      <c r="H47" s="116"/>
      <c r="I47" s="116"/>
      <c r="J47" s="116"/>
      <c r="K47" s="113"/>
    </row>
    <row r="48" spans="2:11" x14ac:dyDescent="0.3">
      <c r="B48" s="5" t="s">
        <v>1977</v>
      </c>
      <c r="C48" s="104" t="s">
        <v>1978</v>
      </c>
      <c r="D48" s="104"/>
      <c r="E48" s="112" t="s">
        <v>1983</v>
      </c>
      <c r="F48" s="112"/>
      <c r="G48" s="116"/>
      <c r="H48" s="116"/>
      <c r="I48" s="116"/>
      <c r="J48" s="116"/>
      <c r="K48" s="113"/>
    </row>
    <row r="49" spans="2:11" x14ac:dyDescent="0.3">
      <c r="B49" s="5" t="s">
        <v>1980</v>
      </c>
      <c r="C49" s="104" t="s">
        <v>1981</v>
      </c>
      <c r="D49" s="104"/>
      <c r="E49" s="112" t="s">
        <v>1984</v>
      </c>
      <c r="F49" s="112"/>
      <c r="G49" s="116"/>
      <c r="H49" s="116"/>
      <c r="I49" s="116"/>
      <c r="J49" s="116"/>
      <c r="K49" s="113"/>
    </row>
    <row r="50" spans="2:11" x14ac:dyDescent="0.3">
      <c r="B50" s="5" t="s">
        <v>1985</v>
      </c>
      <c r="C50" s="104" t="s">
        <v>1986</v>
      </c>
      <c r="D50" s="104"/>
      <c r="E50" s="112" t="s">
        <v>1987</v>
      </c>
      <c r="F50" s="112"/>
      <c r="G50" s="116"/>
      <c r="H50" s="116"/>
      <c r="I50" s="116"/>
      <c r="J50" s="116"/>
      <c r="K50" s="113"/>
    </row>
    <row r="51" spans="2:11" x14ac:dyDescent="0.3">
      <c r="B51" s="5" t="s">
        <v>1988</v>
      </c>
      <c r="C51" s="104" t="s">
        <v>1989</v>
      </c>
      <c r="D51" s="104"/>
      <c r="E51" s="112" t="s">
        <v>1990</v>
      </c>
      <c r="F51" s="112"/>
      <c r="G51" s="116"/>
      <c r="H51" s="116"/>
      <c r="I51" s="116"/>
      <c r="J51" s="116"/>
      <c r="K51" s="113"/>
    </row>
    <row r="52" spans="2:11" x14ac:dyDescent="0.3">
      <c r="B52" s="5" t="s">
        <v>1991</v>
      </c>
      <c r="C52" s="104" t="s">
        <v>1932</v>
      </c>
      <c r="D52" s="104"/>
      <c r="E52" s="112" t="s">
        <v>1992</v>
      </c>
      <c r="F52" s="112"/>
      <c r="G52" s="116"/>
      <c r="H52" s="116"/>
      <c r="I52" s="116"/>
      <c r="J52" s="116"/>
      <c r="K52" s="113"/>
    </row>
    <row r="53" spans="2:11" x14ac:dyDescent="0.3">
      <c r="B53" s="5" t="s">
        <v>1993</v>
      </c>
      <c r="C53" s="104" t="s">
        <v>1994</v>
      </c>
      <c r="D53" s="104"/>
      <c r="E53" s="112" t="s">
        <v>1995</v>
      </c>
      <c r="F53" s="112"/>
      <c r="G53" s="116"/>
      <c r="H53" s="116"/>
      <c r="I53" s="116"/>
      <c r="J53" s="116"/>
      <c r="K53" s="113"/>
    </row>
    <row r="54" spans="2:11" x14ac:dyDescent="0.3">
      <c r="B54" s="5" t="s">
        <v>1996</v>
      </c>
      <c r="C54" s="104" t="s">
        <v>1964</v>
      </c>
      <c r="D54" s="104"/>
      <c r="E54" s="112" t="s">
        <v>1997</v>
      </c>
      <c r="F54" s="112"/>
      <c r="G54" s="116"/>
      <c r="H54" s="116"/>
      <c r="I54" s="116"/>
      <c r="J54" s="116"/>
      <c r="K54" s="113"/>
    </row>
    <row r="55" spans="2:11" x14ac:dyDescent="0.3">
      <c r="B55" s="5" t="s">
        <v>1998</v>
      </c>
      <c r="C55" s="104" t="s">
        <v>1999</v>
      </c>
      <c r="D55" s="104"/>
      <c r="E55" s="112" t="s">
        <v>2000</v>
      </c>
      <c r="F55" s="112"/>
      <c r="G55" s="116"/>
      <c r="H55" s="116"/>
      <c r="I55" s="116"/>
      <c r="J55" s="116"/>
      <c r="K55" s="113"/>
    </row>
    <row r="56" spans="2:11" x14ac:dyDescent="0.3">
      <c r="B56" s="5" t="s">
        <v>2001</v>
      </c>
      <c r="C56" s="104" t="s">
        <v>2002</v>
      </c>
      <c r="D56" s="104"/>
      <c r="E56" s="112" t="s">
        <v>2003</v>
      </c>
      <c r="F56" s="112"/>
      <c r="G56" s="116"/>
      <c r="H56" s="116"/>
      <c r="I56" s="116"/>
      <c r="J56" s="116"/>
      <c r="K56" s="113"/>
    </row>
    <row r="57" spans="2:11" x14ac:dyDescent="0.3">
      <c r="B57" s="5" t="s">
        <v>2004</v>
      </c>
      <c r="C57" s="104" t="s">
        <v>2005</v>
      </c>
      <c r="D57" s="104"/>
      <c r="E57" s="112" t="s">
        <v>2006</v>
      </c>
      <c r="F57" s="112"/>
      <c r="G57" s="116"/>
      <c r="H57" s="116"/>
      <c r="I57" s="116"/>
      <c r="J57" s="116"/>
      <c r="K57" s="113"/>
    </row>
    <row r="58" spans="2:11" x14ac:dyDescent="0.3">
      <c r="B58" s="5" t="s">
        <v>2007</v>
      </c>
      <c r="C58" s="104" t="s">
        <v>2008</v>
      </c>
      <c r="D58" s="104"/>
      <c r="E58" s="112" t="s">
        <v>2009</v>
      </c>
      <c r="F58" s="112"/>
      <c r="G58" s="116"/>
      <c r="H58" s="116"/>
      <c r="I58" s="116"/>
      <c r="J58" s="116"/>
      <c r="K58" s="113"/>
    </row>
    <row r="59" spans="2:11" x14ac:dyDescent="0.3">
      <c r="B59" s="5" t="s">
        <v>2010</v>
      </c>
      <c r="C59" s="104" t="s">
        <v>2011</v>
      </c>
      <c r="D59" s="104"/>
      <c r="E59" s="112" t="s">
        <v>2012</v>
      </c>
      <c r="F59" s="112"/>
      <c r="G59" s="116"/>
      <c r="H59" s="116"/>
      <c r="I59" s="116"/>
      <c r="J59" s="116"/>
      <c r="K59" s="113"/>
    </row>
    <row r="60" spans="2:11" x14ac:dyDescent="0.3">
      <c r="B60" s="5" t="s">
        <v>2013</v>
      </c>
      <c r="C60" s="104" t="s">
        <v>2014</v>
      </c>
      <c r="D60" s="104"/>
      <c r="E60" s="112" t="s">
        <v>2015</v>
      </c>
      <c r="F60" s="112"/>
      <c r="G60" s="116"/>
      <c r="H60" s="116"/>
      <c r="I60" s="116"/>
      <c r="J60" s="116"/>
      <c r="K60" s="113"/>
    </row>
    <row r="61" spans="2:11" x14ac:dyDescent="0.3">
      <c r="B61" s="5" t="s">
        <v>2016</v>
      </c>
      <c r="C61" s="104" t="s">
        <v>2017</v>
      </c>
      <c r="D61" s="104"/>
      <c r="E61" s="112" t="s">
        <v>2018</v>
      </c>
      <c r="F61" s="112"/>
      <c r="G61" s="116"/>
      <c r="H61" s="116"/>
      <c r="I61" s="116"/>
      <c r="J61" s="116"/>
      <c r="K61" s="113"/>
    </row>
    <row r="62" spans="2:11" x14ac:dyDescent="0.3">
      <c r="B62" s="5" t="s">
        <v>2019</v>
      </c>
      <c r="C62" s="104" t="s">
        <v>1967</v>
      </c>
      <c r="D62" s="104"/>
      <c r="E62" s="112" t="s">
        <v>2020</v>
      </c>
      <c r="F62" s="112"/>
      <c r="G62" s="116"/>
      <c r="H62" s="116"/>
      <c r="I62" s="116"/>
      <c r="J62" s="116"/>
      <c r="K62" s="113"/>
    </row>
    <row r="63" spans="2:11" x14ac:dyDescent="0.3">
      <c r="B63" s="5" t="s">
        <v>2021</v>
      </c>
      <c r="C63" s="104" t="s">
        <v>1938</v>
      </c>
      <c r="D63" s="104"/>
      <c r="E63" s="112" t="s">
        <v>2022</v>
      </c>
      <c r="F63" s="112"/>
      <c r="G63" s="116"/>
      <c r="H63" s="116"/>
      <c r="I63" s="116"/>
      <c r="J63" s="116"/>
      <c r="K63" s="113"/>
    </row>
    <row r="64" spans="2:11" x14ac:dyDescent="0.3">
      <c r="B64" s="5" t="s">
        <v>2023</v>
      </c>
      <c r="C64" s="104" t="s">
        <v>2024</v>
      </c>
      <c r="D64" s="104"/>
      <c r="E64" s="112" t="s">
        <v>2025</v>
      </c>
      <c r="F64" s="112"/>
      <c r="G64" s="116"/>
      <c r="H64" s="116"/>
      <c r="I64" s="116"/>
      <c r="J64" s="116"/>
      <c r="K64" s="113"/>
    </row>
    <row r="65" spans="2:11" x14ac:dyDescent="0.3">
      <c r="B65" s="5" t="s">
        <v>2026</v>
      </c>
      <c r="C65" s="104" t="s">
        <v>2027</v>
      </c>
      <c r="D65" s="104"/>
      <c r="E65" s="112" t="s">
        <v>2028</v>
      </c>
      <c r="F65" s="112"/>
      <c r="G65" s="116"/>
      <c r="H65" s="116"/>
      <c r="I65" s="116"/>
      <c r="J65" s="116"/>
      <c r="K65" s="113"/>
    </row>
    <row r="66" spans="2:11" x14ac:dyDescent="0.3">
      <c r="B66" s="5" t="s">
        <v>2029</v>
      </c>
      <c r="C66" s="104" t="s">
        <v>2030</v>
      </c>
      <c r="D66" s="104"/>
      <c r="E66" s="112" t="s">
        <v>2031</v>
      </c>
      <c r="F66" s="112"/>
      <c r="G66" s="116"/>
      <c r="H66" s="116"/>
      <c r="I66" s="116"/>
      <c r="J66" s="116"/>
      <c r="K66" s="113"/>
    </row>
    <row r="67" spans="2:11" ht="17.25" thickBot="1" x14ac:dyDescent="0.35">
      <c r="B67" s="6" t="s">
        <v>2032</v>
      </c>
      <c r="C67" s="127" t="s">
        <v>2033</v>
      </c>
      <c r="D67" s="127"/>
      <c r="E67" s="114" t="s">
        <v>2034</v>
      </c>
      <c r="F67" s="114"/>
      <c r="G67" s="117"/>
      <c r="H67" s="117"/>
      <c r="I67" s="117"/>
      <c r="J67" s="117"/>
      <c r="K67" s="115"/>
    </row>
  </sheetData>
  <mergeCells count="99">
    <mergeCell ref="H14:O14"/>
    <mergeCell ref="E27:K27"/>
    <mergeCell ref="E28:K28"/>
    <mergeCell ref="E29:K29"/>
    <mergeCell ref="C14:G14"/>
    <mergeCell ref="C37:D37"/>
    <mergeCell ref="C38:D38"/>
    <mergeCell ref="E30:K30"/>
    <mergeCell ref="E31:K31"/>
    <mergeCell ref="E32:K32"/>
    <mergeCell ref="E33:K33"/>
    <mergeCell ref="E37:K37"/>
    <mergeCell ref="E38:K38"/>
    <mergeCell ref="C30:D30"/>
    <mergeCell ref="C31:D31"/>
    <mergeCell ref="C32:D32"/>
    <mergeCell ref="C33:D33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58:D58"/>
    <mergeCell ref="C64:D64"/>
    <mergeCell ref="C65:D65"/>
    <mergeCell ref="C66:D66"/>
    <mergeCell ref="C67:D67"/>
    <mergeCell ref="C59:D59"/>
    <mergeCell ref="C60:D60"/>
    <mergeCell ref="C61:D61"/>
    <mergeCell ref="C62:D62"/>
    <mergeCell ref="C63:D63"/>
    <mergeCell ref="B15:B24"/>
    <mergeCell ref="E34:K34"/>
    <mergeCell ref="E35:K35"/>
    <mergeCell ref="E36:K36"/>
    <mergeCell ref="C34:D34"/>
    <mergeCell ref="C35:D35"/>
    <mergeCell ref="C36:D36"/>
    <mergeCell ref="H20:H23"/>
    <mergeCell ref="C27:D27"/>
    <mergeCell ref="C28:D28"/>
    <mergeCell ref="C29:D29"/>
    <mergeCell ref="E39:K39"/>
    <mergeCell ref="E40:K40"/>
    <mergeCell ref="E41:K41"/>
    <mergeCell ref="E42:K42"/>
    <mergeCell ref="E43:K43"/>
    <mergeCell ref="E51:K51"/>
    <mergeCell ref="E52:K52"/>
    <mergeCell ref="E53:K53"/>
    <mergeCell ref="E54:K54"/>
    <mergeCell ref="E45:K45"/>
    <mergeCell ref="E46:K46"/>
    <mergeCell ref="E47:K47"/>
    <mergeCell ref="E48:K48"/>
    <mergeCell ref="E49:K49"/>
    <mergeCell ref="E65:K65"/>
    <mergeCell ref="E66:K66"/>
    <mergeCell ref="E67:K67"/>
    <mergeCell ref="B26:K26"/>
    <mergeCell ref="E60:K60"/>
    <mergeCell ref="E61:K61"/>
    <mergeCell ref="E62:K62"/>
    <mergeCell ref="E63:K63"/>
    <mergeCell ref="E64:K64"/>
    <mergeCell ref="E55:K55"/>
    <mergeCell ref="E56:K56"/>
    <mergeCell ref="E57:K57"/>
    <mergeCell ref="E58:K58"/>
    <mergeCell ref="E59:K59"/>
    <mergeCell ref="E50:K50"/>
    <mergeCell ref="E44:K44"/>
    <mergeCell ref="B1:O1"/>
    <mergeCell ref="E2:O2"/>
    <mergeCell ref="E3:O3"/>
    <mergeCell ref="E4:O4"/>
    <mergeCell ref="E5:O5"/>
    <mergeCell ref="E11:O11"/>
    <mergeCell ref="E12:O12"/>
    <mergeCell ref="E6:O6"/>
    <mergeCell ref="E7:O7"/>
    <mergeCell ref="E8:O8"/>
    <mergeCell ref="E9:O9"/>
    <mergeCell ref="E10:O10"/>
  </mergeCells>
  <phoneticPr fontId="1" type="noConversion"/>
  <conditionalFormatting sqref="C24">
    <cfRule type="containsText" dxfId="28" priority="29" operator="containsText" text="강력매수">
      <formula>NOT(ISERROR(SEARCH("강력매수",C24)))</formula>
    </cfRule>
    <cfRule type="containsText" dxfId="27" priority="30" operator="containsText" text="강력매도">
      <formula>NOT(ISERROR(SEARCH("강력매도",C24)))</formula>
    </cfRule>
    <cfRule type="containsText" dxfId="26" priority="31" operator="containsText" text="매도">
      <formula>NOT(ISERROR(SEARCH("매도",C24)))</formula>
    </cfRule>
    <cfRule type="containsText" dxfId="25" priority="32" operator="containsText" text="매수">
      <formula>NOT(ISERROR(SEARCH("매수",C24)))</formula>
    </cfRule>
  </conditionalFormatting>
  <conditionalFormatting sqref="A6">
    <cfRule type="containsText" dxfId="24" priority="26" operator="containsText" text="하">
      <formula>NOT(ISERROR(SEARCH("하",A6)))</formula>
    </cfRule>
    <cfRule type="containsText" dxfId="23" priority="27" operator="containsText" text="상">
      <formula>NOT(ISERROR(SEARCH("상",A6)))</formula>
    </cfRule>
  </conditionalFormatting>
  <conditionalFormatting sqref="A4">
    <cfRule type="expression" dxfId="22" priority="23">
      <formula>LEFT($A$6,1)="하"</formula>
    </cfRule>
    <cfRule type="expression" dxfId="21" priority="25">
      <formula>LEFT($A$6,1)="상"</formula>
    </cfRule>
  </conditionalFormatting>
  <conditionalFormatting sqref="A8">
    <cfRule type="expression" dxfId="20" priority="22">
      <formula>LEFT($A$6,1)="하"</formula>
    </cfRule>
    <cfRule type="expression" dxfId="19" priority="24">
      <formula>LEFT($A$6,1)="상"</formula>
    </cfRule>
  </conditionalFormatting>
  <conditionalFormatting sqref="A12">
    <cfRule type="expression" dxfId="18" priority="20">
      <formula>LEFT($A$12,1)&lt;&gt;"-"</formula>
    </cfRule>
    <cfRule type="expression" dxfId="17" priority="21">
      <formula>LEFT($A$12,1)="-"</formula>
    </cfRule>
  </conditionalFormatting>
  <conditionalFormatting sqref="A10">
    <cfRule type="expression" dxfId="16" priority="17">
      <formula>$A$10&lt;$A$4</formula>
    </cfRule>
    <cfRule type="expression" dxfId="15" priority="18">
      <formula>$A$10&gt;$A$4</formula>
    </cfRule>
  </conditionalFormatting>
  <conditionalFormatting sqref="A14">
    <cfRule type="expression" dxfId="14" priority="15">
      <formula>$A$12&lt;0</formula>
    </cfRule>
    <cfRule type="expression" dxfId="13" priority="16">
      <formula>$A$12&gt;=0</formula>
    </cfRule>
  </conditionalFormatting>
  <conditionalFormatting sqref="C18">
    <cfRule type="containsText" dxfId="12" priority="9" operator="containsText" text="N/A">
      <formula>NOT(ISERROR(SEARCH("N/A",C18)))</formula>
    </cfRule>
    <cfRule type="expression" dxfId="11" priority="13">
      <formula>$C$18&lt;$A$4</formula>
    </cfRule>
    <cfRule type="expression" dxfId="10" priority="14">
      <formula>$C$18&gt;$A$4</formula>
    </cfRule>
  </conditionalFormatting>
  <conditionalFormatting sqref="J16:J24">
    <cfRule type="containsText" dxfId="9" priority="10" operator="containsText" text="적정가">
      <formula>NOT(ISERROR(SEARCH("적정가",J16)))</formula>
    </cfRule>
    <cfRule type="containsText" dxfId="8" priority="11" operator="containsText" text="고평가">
      <formula>NOT(ISERROR(SEARCH("고평가",J16)))</formula>
    </cfRule>
    <cfRule type="containsText" dxfId="7" priority="12" operator="containsText" text="저평가">
      <formula>NOT(ISERROR(SEARCH("저평가",J16)))</formula>
    </cfRule>
  </conditionalFormatting>
  <conditionalFormatting sqref="I16">
    <cfRule type="colorScale" priority="8">
      <colorScale>
        <cfvo type="formula" val="$I$16&gt;$A$4"/>
        <cfvo type="formula" val="$I$16&lt;$A$4"/>
        <color rgb="FFFF0000"/>
        <color rgb="FF0070C0"/>
      </colorScale>
    </cfRule>
  </conditionalFormatting>
  <conditionalFormatting sqref="N16:N24">
    <cfRule type="containsText" dxfId="6" priority="5" operator="containsText" text="적정가">
      <formula>NOT(ISERROR(SEARCH("적정가",N16)))</formula>
    </cfRule>
    <cfRule type="containsText" dxfId="5" priority="6" operator="containsText" text="고평가">
      <formula>NOT(ISERROR(SEARCH("고평가",N16)))</formula>
    </cfRule>
    <cfRule type="containsText" dxfId="4" priority="7" operator="containsText" text="저평가">
      <formula>NOT(ISERROR(SEARCH("저평가",N16)))</formula>
    </cfRule>
  </conditionalFormatting>
  <conditionalFormatting sqref="C22">
    <cfRule type="expression" dxfId="3" priority="3">
      <formula>$C$22&lt;1</formula>
    </cfRule>
    <cfRule type="expression" dxfId="2" priority="4">
      <formula>$C$22&gt;1</formula>
    </cfRule>
  </conditionalFormatting>
  <conditionalFormatting sqref="C20">
    <cfRule type="expression" dxfId="1" priority="1">
      <formula>$C$20&lt;10</formula>
    </cfRule>
    <cfRule type="expression" dxfId="0" priority="2">
      <formula>$C$20&gt;10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네이버금융_뉴스가져오기">
                <anchor moveWithCells="1" siz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0</xdr:col>
                    <xdr:colOff>1619250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D5CDF45-BB44-454A-87F3-D95BA10293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10</vt:i4>
      </vt:variant>
    </vt:vector>
  </HeadingPairs>
  <TitlesOfParts>
    <vt:vector size="15" baseType="lpstr">
      <vt:lpstr>종목 코드</vt:lpstr>
      <vt:lpstr>100거래일 주가</vt:lpstr>
      <vt:lpstr>일별 시세</vt:lpstr>
      <vt:lpstr>주가 예측</vt:lpstr>
      <vt:lpstr>투자</vt:lpstr>
      <vt:lpstr>'일별 시세'!_1_134</vt:lpstr>
      <vt:lpstr>'일별 시세'!_10_134</vt:lpstr>
      <vt:lpstr>'일별 시세'!_2_134</vt:lpstr>
      <vt:lpstr>'일별 시세'!_3_134</vt:lpstr>
      <vt:lpstr>'일별 시세'!_4_134</vt:lpstr>
      <vt:lpstr>'일별 시세'!_5_134</vt:lpstr>
      <vt:lpstr>'일별 시세'!_6_134</vt:lpstr>
      <vt:lpstr>'일별 시세'!_7_134</vt:lpstr>
      <vt:lpstr>'일별 시세'!_8_134</vt:lpstr>
      <vt:lpstr>'일별 시세'!_9_134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leezz</dc:creator>
  <cp:lastModifiedBy>Leessx</cp:lastModifiedBy>
  <dcterms:created xsi:type="dcterms:W3CDTF">2020-10-06T05:10:28Z</dcterms:created>
  <dcterms:modified xsi:type="dcterms:W3CDTF">2021-03-18T01:19:56Z</dcterms:modified>
</cp:coreProperties>
</file>