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현재_통합_문서" defaultThemeVersion="166925"/>
  <mc:AlternateContent xmlns:mc="http://schemas.openxmlformats.org/markup-compatibility/2006">
    <mc:Choice Requires="x15">
      <x15ac:absPath xmlns:x15ac="http://schemas.microsoft.com/office/spreadsheetml/2010/11/ac" url="C:\Users\Leessx\Desktop\"/>
    </mc:Choice>
  </mc:AlternateContent>
  <xr:revisionPtr revIDLastSave="0" documentId="13_ncr:1_{31E9DE87-3339-4D26-AA68-EFCDF8A6E705}" xr6:coauthVersionLast="45" xr6:coauthVersionMax="45" xr10:uidLastSave="{00000000-0000-0000-0000-000000000000}"/>
  <bookViews>
    <workbookView xWindow="-120" yWindow="-120" windowWidth="20730" windowHeight="11160" activeTab="6" xr2:uid="{0D651575-C88D-449E-872D-D9453AFAEDF7}"/>
  </bookViews>
  <sheets>
    <sheet name="Model 1" sheetId="1" r:id="rId1"/>
    <sheet name="Model 2" sheetId="2" r:id="rId2"/>
    <sheet name="Model 3" sheetId="3" r:id="rId3"/>
    <sheet name="Model 4" sheetId="4" r:id="rId4"/>
    <sheet name="Model 5" sheetId="5" r:id="rId5"/>
    <sheet name="수익률, 듀레이션 VBA" sheetId="6" r:id="rId6"/>
    <sheet name="종목정보" sheetId="7" r:id="rId7"/>
  </sheets>
  <functionGroups builtInGroupCount="19"/>
  <definedNames>
    <definedName name="_xlnm._FilterDatabase" localSheetId="1" hidden="1">'Model 2'!$B$25:$C$86</definedName>
    <definedName name="cPmt">'Model 2'!$B$11</definedName>
    <definedName name="Cpns">'Model 2'!$B$6</definedName>
    <definedName name="CR">'Model 2'!$B$4</definedName>
    <definedName name="Disc">'Model 2'!$B$10</definedName>
    <definedName name="ExternalData_1" localSheetId="6">종목정보!#REF!</definedName>
    <definedName name="ExternalData_2" localSheetId="6">종목정보!#REF!</definedName>
    <definedName name="ExternalData_3" localSheetId="6">종목정보!#REF!</definedName>
    <definedName name="ExternalData_4" localSheetId="6">종목정보!#REF!</definedName>
    <definedName name="ExternalData_5" localSheetId="6">종목정보!#REF!</definedName>
    <definedName name="ExternalData_6" localSheetId="6">종목정보!#REF!</definedName>
    <definedName name="ExternalData_7" localSheetId="6">종목정보!#REF!</definedName>
    <definedName name="ExternalData_8" localSheetId="6">종목정보!#REF!</definedName>
    <definedName name="f">'Model 2'!$B$7</definedName>
    <definedName name="Face">'Model 2'!$B$8</definedName>
    <definedName name="KR6017811995" localSheetId="6">종목정보!$A$1:$B$117</definedName>
    <definedName name="KR6017811995_1" localSheetId="6">종목정보!#REF!</definedName>
    <definedName name="KR6017811995_2" localSheetId="6">종목정보!#REF!</definedName>
    <definedName name="KR6017811995_3" localSheetId="6">종목정보!#REF!</definedName>
    <definedName name="KR6017811995_4" localSheetId="6">종목정보!#REF!</definedName>
    <definedName name="Life">'Model 2'!$B$12</definedName>
    <definedName name="y">'Model 2'!$B$5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4" l="1"/>
  <c r="B19" i="4" l="1"/>
  <c r="B20" i="4" s="1"/>
  <c r="B1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26" i="5"/>
  <c r="D25" i="5"/>
  <c r="B26" i="5"/>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11" i="5"/>
  <c r="B4" i="5"/>
  <c r="B9" i="5" s="1"/>
  <c r="B3" i="5"/>
  <c r="B10" i="5" s="1"/>
  <c r="B17" i="5" l="1"/>
  <c r="B18" i="5" s="1"/>
  <c r="B13" i="5"/>
  <c r="B14" i="5" s="1"/>
  <c r="C24" i="5" s="1"/>
  <c r="B67" i="4"/>
  <c r="B11" i="4"/>
  <c r="B9" i="4"/>
  <c r="C67" i="4" s="1"/>
  <c r="B3" i="4"/>
  <c r="B22" i="4" s="1"/>
  <c r="H27" i="4" s="1"/>
  <c r="B19" i="5" l="1"/>
  <c r="B21" i="4"/>
  <c r="B10" i="4"/>
  <c r="B12" i="4" s="1"/>
  <c r="D67" i="4" s="1"/>
  <c r="E67" i="4" s="1"/>
  <c r="B9" i="3"/>
  <c r="B8" i="3"/>
  <c r="F27" i="3"/>
  <c r="F28" i="3"/>
  <c r="F29" i="3"/>
  <c r="F30" i="3"/>
  <c r="F31" i="3"/>
  <c r="F32" i="3"/>
  <c r="F33" i="3"/>
  <c r="F34" i="3"/>
  <c r="F35" i="3"/>
  <c r="F26" i="3"/>
  <c r="E35" i="3"/>
  <c r="E27" i="3"/>
  <c r="E28" i="3"/>
  <c r="E29" i="3"/>
  <c r="E30" i="3"/>
  <c r="E31" i="3"/>
  <c r="E32" i="3"/>
  <c r="E33" i="3"/>
  <c r="E34" i="3"/>
  <c r="E26" i="3"/>
  <c r="B47" i="4" l="1"/>
  <c r="C47" i="4" s="1"/>
  <c r="D47" i="4" s="1"/>
  <c r="E47" i="4" s="1"/>
  <c r="B40" i="4"/>
  <c r="C40" i="4" s="1"/>
  <c r="D40" i="4" s="1"/>
  <c r="E40" i="4" s="1"/>
  <c r="B33" i="4"/>
  <c r="C33" i="4" s="1"/>
  <c r="D33" i="4" s="1"/>
  <c r="E33" i="4" s="1"/>
  <c r="B30" i="4"/>
  <c r="C30" i="4" s="1"/>
  <c r="D30" i="4" s="1"/>
  <c r="E30" i="4" s="1"/>
  <c r="B53" i="4"/>
  <c r="C53" i="4" s="1"/>
  <c r="D53" i="4" s="1"/>
  <c r="E53" i="4" s="1"/>
  <c r="B63" i="4"/>
  <c r="C63" i="4" s="1"/>
  <c r="D63" i="4" s="1"/>
  <c r="E63" i="4" s="1"/>
  <c r="B35" i="4"/>
  <c r="C35" i="4" s="1"/>
  <c r="D35" i="4" s="1"/>
  <c r="E35" i="4" s="1"/>
  <c r="B28" i="4"/>
  <c r="C28" i="4" s="1"/>
  <c r="D28" i="4" s="1"/>
  <c r="E28" i="4" s="1"/>
  <c r="B46" i="4"/>
  <c r="C46" i="4" s="1"/>
  <c r="D46" i="4" s="1"/>
  <c r="E46" i="4" s="1"/>
  <c r="B32" i="4"/>
  <c r="C32" i="4" s="1"/>
  <c r="D32" i="4" s="1"/>
  <c r="E32" i="4" s="1"/>
  <c r="B43" i="4"/>
  <c r="C43" i="4" s="1"/>
  <c r="D43" i="4" s="1"/>
  <c r="E43" i="4" s="1"/>
  <c r="B36" i="4"/>
  <c r="C36" i="4" s="1"/>
  <c r="D36" i="4" s="1"/>
  <c r="E36" i="4" s="1"/>
  <c r="B41" i="4"/>
  <c r="C41" i="4" s="1"/>
  <c r="D41" i="4" s="1"/>
  <c r="E41" i="4" s="1"/>
  <c r="B48" i="4"/>
  <c r="C48" i="4" s="1"/>
  <c r="D48" i="4" s="1"/>
  <c r="E48" i="4" s="1"/>
  <c r="B45" i="4"/>
  <c r="C45" i="4" s="1"/>
  <c r="D45" i="4" s="1"/>
  <c r="E45" i="4" s="1"/>
  <c r="B65" i="4"/>
  <c r="C65" i="4" s="1"/>
  <c r="D65" i="4" s="1"/>
  <c r="E65" i="4" s="1"/>
  <c r="B52" i="4"/>
  <c r="C52" i="4" s="1"/>
  <c r="D52" i="4" s="1"/>
  <c r="E52" i="4" s="1"/>
  <c r="B56" i="4"/>
  <c r="C56" i="4" s="1"/>
  <c r="D56" i="4" s="1"/>
  <c r="E56" i="4" s="1"/>
  <c r="B27" i="4"/>
  <c r="C27" i="4" s="1"/>
  <c r="D27" i="4" s="1"/>
  <c r="E27" i="4" s="1"/>
  <c r="B60" i="4"/>
  <c r="C60" i="4" s="1"/>
  <c r="D60" i="4" s="1"/>
  <c r="E60" i="4" s="1"/>
  <c r="B38" i="4"/>
  <c r="C38" i="4" s="1"/>
  <c r="D38" i="4" s="1"/>
  <c r="E38" i="4" s="1"/>
  <c r="B51" i="4"/>
  <c r="C51" i="4" s="1"/>
  <c r="D51" i="4" s="1"/>
  <c r="E51" i="4" s="1"/>
  <c r="B44" i="4"/>
  <c r="C44" i="4" s="1"/>
  <c r="D44" i="4" s="1"/>
  <c r="E44" i="4" s="1"/>
  <c r="B59" i="4"/>
  <c r="C59" i="4" s="1"/>
  <c r="D59" i="4" s="1"/>
  <c r="E59" i="4" s="1"/>
  <c r="B39" i="4"/>
  <c r="C39" i="4" s="1"/>
  <c r="D39" i="4" s="1"/>
  <c r="E39" i="4" s="1"/>
  <c r="B64" i="4"/>
  <c r="C64" i="4" s="1"/>
  <c r="D64" i="4" s="1"/>
  <c r="E64" i="4" s="1"/>
  <c r="B37" i="4"/>
  <c r="C37" i="4" s="1"/>
  <c r="D37" i="4" s="1"/>
  <c r="E37" i="4" s="1"/>
  <c r="B29" i="4"/>
  <c r="C29" i="4" s="1"/>
  <c r="D29" i="4" s="1"/>
  <c r="E29" i="4" s="1"/>
  <c r="B62" i="4"/>
  <c r="C62" i="4" s="1"/>
  <c r="D62" i="4" s="1"/>
  <c r="E62" i="4" s="1"/>
  <c r="B55" i="4"/>
  <c r="C55" i="4" s="1"/>
  <c r="D55" i="4" s="1"/>
  <c r="E55" i="4" s="1"/>
  <c r="B57" i="4"/>
  <c r="C57" i="4" s="1"/>
  <c r="D57" i="4" s="1"/>
  <c r="E57" i="4" s="1"/>
  <c r="B54" i="4"/>
  <c r="C54" i="4" s="1"/>
  <c r="D54" i="4" s="1"/>
  <c r="E54" i="4" s="1"/>
  <c r="B61" i="4"/>
  <c r="C61" i="4" s="1"/>
  <c r="D61" i="4" s="1"/>
  <c r="E61" i="4" s="1"/>
  <c r="B31" i="4"/>
  <c r="C31" i="4" s="1"/>
  <c r="D31" i="4" s="1"/>
  <c r="E31" i="4" s="1"/>
  <c r="B34" i="4"/>
  <c r="C34" i="4" s="1"/>
  <c r="D34" i="4" s="1"/>
  <c r="E34" i="4" s="1"/>
  <c r="B49" i="4"/>
  <c r="C49" i="4" s="1"/>
  <c r="D49" i="4" s="1"/>
  <c r="E49" i="4" s="1"/>
  <c r="B58" i="4"/>
  <c r="C58" i="4" s="1"/>
  <c r="D58" i="4" s="1"/>
  <c r="E58" i="4" s="1"/>
  <c r="B66" i="4"/>
  <c r="C66" i="4" s="1"/>
  <c r="D66" i="4" s="1"/>
  <c r="E66" i="4" s="1"/>
  <c r="B42" i="4"/>
  <c r="C42" i="4" s="1"/>
  <c r="D42" i="4" s="1"/>
  <c r="E42" i="4" s="1"/>
  <c r="B50" i="4"/>
  <c r="C50" i="4" s="1"/>
  <c r="D50" i="4" s="1"/>
  <c r="E50" i="4" s="1"/>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26" i="2"/>
  <c r="B28" i="2"/>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27" i="2"/>
  <c r="B12" i="2"/>
  <c r="B15" i="4" l="1"/>
  <c r="B16" i="4" s="1"/>
  <c r="B5" i="2"/>
  <c r="B10" i="2" s="1"/>
  <c r="B4" i="2"/>
  <c r="B11" i="2" l="1"/>
  <c r="B14" i="2" s="1"/>
  <c r="C25" i="2" s="1"/>
  <c r="D4" i="1"/>
  <c r="D5" i="1"/>
  <c r="D6" i="1"/>
  <c r="D7" i="1"/>
  <c r="D10" i="1"/>
  <c r="D11" i="1"/>
  <c r="D12" i="1"/>
  <c r="D13" i="1"/>
  <c r="D14" i="1"/>
  <c r="D15" i="1"/>
  <c r="D16" i="1"/>
  <c r="D9" i="1"/>
  <c r="D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leezz</author>
  </authors>
  <commentList>
    <comment ref="A1" authorId="0" shapeId="0" xr:uid="{2E4615A2-7449-4DDE-8F7B-0B6C55352392}">
      <text>
        <r>
          <rPr>
            <sz val="11"/>
            <color indexed="81"/>
            <rFont val="Tahoma"/>
            <family val="2"/>
          </rPr>
          <t xml:space="preserve">YIELD CURVE AND FORWARD RATES
</t>
        </r>
      </text>
    </comment>
    <comment ref="A21" authorId="0" shapeId="0" xr:uid="{683C0EEA-53AA-4DAC-AFAC-B8EBC8ACF231}">
      <text>
        <r>
          <rPr>
            <sz val="11"/>
            <color indexed="81"/>
            <rFont val="Tahoma"/>
            <family val="2"/>
          </rPr>
          <t>The model is useful for creating updated yield curves and forward rates quickly.
An interesting benefit of plotting forward rate is that it points out where the yield curve is not quite smooth because forward rates tend to exaggerate kinks in the yield curves.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leezz</author>
  </authors>
  <commentList>
    <comment ref="A1" authorId="0" shapeId="0" xr:uid="{F91DF1D4-30D1-4306-A93E-B938087FCF32}">
      <text>
        <r>
          <rPr>
            <sz val="11"/>
            <color indexed="81"/>
            <rFont val="Tahoma"/>
            <family val="2"/>
          </rPr>
          <t xml:space="preserve">BOND PRICING USING YIELD TO MATURITY
</t>
        </r>
      </text>
    </comment>
    <comment ref="B14" authorId="0" shapeId="0" xr:uid="{216143F6-759F-4671-B1A6-9CD60F22468E}">
      <text>
        <r>
          <rPr>
            <sz val="10"/>
            <color indexed="81"/>
            <rFont val="Tahoma"/>
            <family val="2"/>
          </rPr>
          <t>makes the bond price equal to the face value if the yield to maturity is equal to the coupon rate</t>
        </r>
        <r>
          <rPr>
            <sz val="11"/>
            <color indexed="81"/>
            <rFont val="Tahoma"/>
            <family val="2"/>
          </rPr>
          <t xml:space="preserve">
</t>
        </r>
      </text>
    </comment>
    <comment ref="A18" authorId="0" shapeId="0" xr:uid="{036C7C40-48E0-45BB-AF66-FEAB72FD1B3E}">
      <text>
        <r>
          <rPr>
            <sz val="11"/>
            <color indexed="81"/>
            <rFont val="Tahoma"/>
            <family val="2"/>
          </rPr>
          <t xml:space="preserve">This model is useful for exploring how the value of a bond changes with changes in the values of the other variables. The chart already shows how the value approaches the par value as remaining life goes to zero. Use the spinner to change the yield to maturity from a value less than the coupon rate to a value greater than the coupon rate to see how the valuation curve changes. 
Also change the coupon rate to zero for a zero-coupon bond and notice that the longer the remaining life, the lower the price of the bond and the price decreases as the yield to maturity increases.
</t>
        </r>
      </text>
    </comment>
    <comment ref="C24" authorId="0" shapeId="0" xr:uid="{77E56CE9-9736-4B91-8321-D8CBFADEA877}">
      <text>
        <r>
          <rPr>
            <sz val="11"/>
            <color indexed="81"/>
            <rFont val="Tahoma"/>
            <family val="2"/>
          </rPr>
          <t xml:space="preserve">B25:C86 </t>
        </r>
        <r>
          <rPr>
            <sz val="11"/>
            <color indexed="81"/>
            <rFont val="돋움"/>
            <family val="3"/>
            <charset val="129"/>
          </rPr>
          <t>선택</t>
        </r>
        <r>
          <rPr>
            <sz val="11"/>
            <color indexed="81"/>
            <rFont val="Tahoma"/>
            <family val="2"/>
          </rPr>
          <t xml:space="preserve"> -&gt; </t>
        </r>
        <r>
          <rPr>
            <sz val="11"/>
            <color indexed="81"/>
            <rFont val="돋움"/>
            <family val="3"/>
            <charset val="129"/>
          </rPr>
          <t>데이터의</t>
        </r>
        <r>
          <rPr>
            <sz val="11"/>
            <color indexed="81"/>
            <rFont val="Tahoma"/>
            <family val="2"/>
          </rPr>
          <t xml:space="preserve"> </t>
        </r>
        <r>
          <rPr>
            <sz val="11"/>
            <color indexed="81"/>
            <rFont val="돋움"/>
            <family val="3"/>
            <charset val="129"/>
          </rPr>
          <t>가상분석</t>
        </r>
        <r>
          <rPr>
            <sz val="11"/>
            <color indexed="81"/>
            <rFont val="Tahoma"/>
            <family val="2"/>
          </rPr>
          <t xml:space="preserve"> : </t>
        </r>
        <r>
          <rPr>
            <sz val="11"/>
            <color indexed="81"/>
            <rFont val="돋움"/>
            <family val="3"/>
            <charset val="129"/>
          </rPr>
          <t>데이터</t>
        </r>
        <r>
          <rPr>
            <sz val="11"/>
            <color indexed="81"/>
            <rFont val="Tahoma"/>
            <family val="2"/>
          </rPr>
          <t xml:space="preserve"> </t>
        </r>
        <r>
          <rPr>
            <sz val="11"/>
            <color indexed="81"/>
            <rFont val="돋움"/>
            <family val="3"/>
            <charset val="129"/>
          </rPr>
          <t>표</t>
        </r>
        <r>
          <rPr>
            <sz val="11"/>
            <color indexed="81"/>
            <rFont val="Tahoma"/>
            <family val="2"/>
          </rPr>
          <t xml:space="preserve"> -&gt; '</t>
        </r>
        <r>
          <rPr>
            <sz val="11"/>
            <color indexed="81"/>
            <rFont val="돋움"/>
            <family val="3"/>
            <charset val="129"/>
          </rPr>
          <t>열</t>
        </r>
        <r>
          <rPr>
            <sz val="11"/>
            <color indexed="81"/>
            <rFont val="Tahoma"/>
            <family val="2"/>
          </rPr>
          <t xml:space="preserve"> </t>
        </r>
        <r>
          <rPr>
            <sz val="11"/>
            <color indexed="81"/>
            <rFont val="돋움"/>
            <family val="3"/>
            <charset val="129"/>
          </rPr>
          <t>입력</t>
        </r>
        <r>
          <rPr>
            <sz val="11"/>
            <color indexed="81"/>
            <rFont val="Tahoma"/>
            <family val="2"/>
          </rPr>
          <t xml:space="preserve"> </t>
        </r>
        <r>
          <rPr>
            <sz val="11"/>
            <color indexed="81"/>
            <rFont val="돋움"/>
            <family val="3"/>
            <charset val="129"/>
          </rPr>
          <t>셀</t>
        </r>
        <r>
          <rPr>
            <sz val="11"/>
            <color indexed="81"/>
            <rFont val="Tahoma"/>
            <family val="2"/>
          </rPr>
          <t>'</t>
        </r>
        <r>
          <rPr>
            <sz val="11"/>
            <color indexed="81"/>
            <rFont val="돋움"/>
            <family val="3"/>
            <charset val="129"/>
          </rPr>
          <t>에</t>
        </r>
        <r>
          <rPr>
            <sz val="11"/>
            <color indexed="81"/>
            <rFont val="Tahoma"/>
            <family val="2"/>
          </rPr>
          <t xml:space="preserve"> B6 </t>
        </r>
        <r>
          <rPr>
            <sz val="11"/>
            <color indexed="81"/>
            <rFont val="돋움"/>
            <family val="3"/>
            <charset val="129"/>
          </rPr>
          <t>선택</t>
        </r>
        <r>
          <rPr>
            <sz val="11"/>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leezz</author>
  </authors>
  <commentList>
    <comment ref="A1" authorId="0" shapeId="0" xr:uid="{3EB26FF9-F3BC-4973-9DC8-E6143ED4EC22}">
      <text>
        <r>
          <rPr>
            <sz val="11"/>
            <color indexed="81"/>
            <rFont val="Tahoma"/>
            <family val="2"/>
          </rPr>
          <t>BOND PRICING USING THE YIELD CURVE</t>
        </r>
      </text>
    </comment>
    <comment ref="A18" authorId="0" shapeId="0" xr:uid="{99ECD183-0CDE-44EC-A7D5-756D3BFC51F6}">
      <text>
        <r>
          <rPr>
            <sz val="11"/>
            <color indexed="81"/>
            <rFont val="Tahoma"/>
            <family val="2"/>
          </rPr>
          <t xml:space="preserve">This model produces a more realistic valuation for a bond. However, as mentioned before, the appropriate discount rates would be the rates from the yield curve plus some premium. 
Notice that the yield to maturity is significantly different from most of the yields and is lower than the 10-year yield even though this is a 10-year bond. The reason, of course, is that the yield curve here is very steep.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leezz</author>
  </authors>
  <commentList>
    <comment ref="A1" authorId="0" shapeId="0" xr:uid="{C8839D67-2E9F-4787-89FE-C530B50D4262}">
      <text>
        <r>
          <rPr>
            <sz val="11"/>
            <color indexed="81"/>
            <rFont val="Tahoma"/>
            <family val="2"/>
          </rPr>
          <t>BOND DURATION AND ITS DEPENDENCE ON YIELD TO MATURITY</t>
        </r>
      </text>
    </comment>
    <comment ref="D19" authorId="0" shapeId="0" xr:uid="{A82A5D02-413C-4F6E-952F-54817E42210B}">
      <text>
        <r>
          <rPr>
            <sz val="11"/>
            <color indexed="81"/>
            <rFont val="Tahoma"/>
            <family val="2"/>
          </rPr>
          <t xml:space="preserve">Notice how the modified duration goes down as the yield to maturity goes up.
Why is this? Because as the yield to maturity goes up, the present values of the distant cash flows become smaller and therefore their timings count less in the duration calculation. 
Use the spinner to study the effect of the coupon rate (relative to the yield to maturity) on duration.
This model lacks flexibility in that the duration calculation from the formulas will work only for a fixed life of 40 periods or 20 years. You could make it more flexible by using some IF functions. 
To the extent that Excel has the builtin functions that can handle bonds of any maturity, however, trying to make the model more flexible is not very important.
</t>
        </r>
      </text>
    </comment>
    <comment ref="H26" authorId="0" shapeId="0" xr:uid="{73B65E3B-8BD0-479F-B5A7-5CB6189D77F8}">
      <text>
        <r>
          <rPr>
            <sz val="11"/>
            <color indexed="81"/>
            <rFont val="Tahoma"/>
            <family val="2"/>
          </rPr>
          <t xml:space="preserve">G27:H127 </t>
        </r>
        <r>
          <rPr>
            <sz val="11"/>
            <color indexed="81"/>
            <rFont val="돋움"/>
            <family val="3"/>
            <charset val="129"/>
          </rPr>
          <t>선택</t>
        </r>
        <r>
          <rPr>
            <sz val="11"/>
            <color indexed="81"/>
            <rFont val="Tahoma"/>
            <family val="2"/>
          </rPr>
          <t xml:space="preserve"> -&gt; </t>
        </r>
        <r>
          <rPr>
            <sz val="11"/>
            <color indexed="81"/>
            <rFont val="돋움"/>
            <family val="3"/>
            <charset val="129"/>
          </rPr>
          <t>데이터의</t>
        </r>
        <r>
          <rPr>
            <sz val="11"/>
            <color indexed="81"/>
            <rFont val="Tahoma"/>
            <family val="2"/>
          </rPr>
          <t xml:space="preserve"> </t>
        </r>
        <r>
          <rPr>
            <sz val="11"/>
            <color indexed="81"/>
            <rFont val="돋움"/>
            <family val="3"/>
            <charset val="129"/>
          </rPr>
          <t>가상분석</t>
        </r>
        <r>
          <rPr>
            <sz val="11"/>
            <color indexed="81"/>
            <rFont val="Tahoma"/>
            <family val="2"/>
          </rPr>
          <t xml:space="preserve"> : </t>
        </r>
        <r>
          <rPr>
            <sz val="11"/>
            <color indexed="81"/>
            <rFont val="돋움"/>
            <family val="3"/>
            <charset val="129"/>
          </rPr>
          <t>데이터</t>
        </r>
        <r>
          <rPr>
            <sz val="11"/>
            <color indexed="81"/>
            <rFont val="Tahoma"/>
            <family val="2"/>
          </rPr>
          <t xml:space="preserve"> </t>
        </r>
        <r>
          <rPr>
            <sz val="11"/>
            <color indexed="81"/>
            <rFont val="돋움"/>
            <family val="3"/>
            <charset val="129"/>
          </rPr>
          <t>표</t>
        </r>
        <r>
          <rPr>
            <sz val="11"/>
            <color indexed="81"/>
            <rFont val="Tahoma"/>
            <family val="2"/>
          </rPr>
          <t xml:space="preserve"> -&gt; '</t>
        </r>
        <r>
          <rPr>
            <sz val="11"/>
            <color indexed="81"/>
            <rFont val="돋움"/>
            <family val="3"/>
            <charset val="129"/>
          </rPr>
          <t>열</t>
        </r>
        <r>
          <rPr>
            <sz val="11"/>
            <color indexed="81"/>
            <rFont val="Tahoma"/>
            <family val="2"/>
          </rPr>
          <t xml:space="preserve"> </t>
        </r>
        <r>
          <rPr>
            <sz val="11"/>
            <color indexed="81"/>
            <rFont val="돋움"/>
            <family val="3"/>
            <charset val="129"/>
          </rPr>
          <t>입력</t>
        </r>
        <r>
          <rPr>
            <sz val="11"/>
            <color indexed="81"/>
            <rFont val="Tahoma"/>
            <family val="2"/>
          </rPr>
          <t xml:space="preserve"> </t>
        </r>
        <r>
          <rPr>
            <sz val="11"/>
            <color indexed="81"/>
            <rFont val="돋움"/>
            <family val="3"/>
            <charset val="129"/>
          </rPr>
          <t>셀</t>
        </r>
        <r>
          <rPr>
            <sz val="11"/>
            <color indexed="81"/>
            <rFont val="Tahoma"/>
            <family val="2"/>
          </rPr>
          <t>'</t>
        </r>
        <r>
          <rPr>
            <sz val="11"/>
            <color indexed="81"/>
            <rFont val="돋움"/>
            <family val="3"/>
            <charset val="129"/>
          </rPr>
          <t>에</t>
        </r>
        <r>
          <rPr>
            <sz val="11"/>
            <color indexed="81"/>
            <rFont val="Tahoma"/>
            <family val="2"/>
          </rPr>
          <t xml:space="preserve"> B4 </t>
        </r>
        <r>
          <rPr>
            <sz val="11"/>
            <color indexed="81"/>
            <rFont val="돋움"/>
            <family val="3"/>
            <charset val="129"/>
          </rPr>
          <t>선택</t>
        </r>
      </text>
    </comment>
    <comment ref="A67" authorId="0" shapeId="0" xr:uid="{2BC6E2F1-EC8C-4CBB-8904-77E8D85481C0}">
      <text>
        <r>
          <rPr>
            <sz val="11"/>
            <color indexed="81"/>
            <rFont val="Tahoma"/>
            <family val="2"/>
          </rPr>
          <t>principal repayment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leezz</author>
  </authors>
  <commentList>
    <comment ref="A1" authorId="0" shapeId="0" xr:uid="{E2441FA3-12F1-4F15-8A93-A3021E3C65FD}">
      <text>
        <r>
          <rPr>
            <sz val="11"/>
            <color indexed="81"/>
            <rFont val="Tahoma"/>
            <family val="2"/>
          </rPr>
          <t>DEPENDENCE OF BOND DURATION ON REMAINING LIFE</t>
        </r>
      </text>
    </comment>
    <comment ref="B17" authorId="0" shapeId="0" xr:uid="{FFE7D1EB-1F7B-452E-A47F-CC9A2428752F}">
      <text>
        <r>
          <rPr>
            <sz val="11"/>
            <color indexed="81"/>
            <rFont val="Tahoma"/>
            <family val="2"/>
          </rPr>
          <t>This maturity date will not be exact because in adding the number of days it assumes all intervening years are 365-day years, which is not always true</t>
        </r>
      </text>
    </comment>
    <comment ref="F24" authorId="0" shapeId="0" xr:uid="{5FF114AB-9019-4CE2-9365-C952D5266907}">
      <text>
        <r>
          <rPr>
            <sz val="11"/>
            <color indexed="81"/>
            <rFont val="Tahoma"/>
            <family val="2"/>
          </rPr>
          <t>The model is useful for studying how modified duration varies with changes in the different bond variables. 
For example, you will notice that the modified duration gets longer as the coupon rate declines while for zero-coupon bonds it is close to remaining life.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53B0C1B-E5B8-4534-BBAF-EDFCE5C19CF3}" name="연결" type="4" refreshedVersion="6" background="1" saveData="1">
    <webPr sourceData="1" parsePre="1" consecutive="1" xl2000="1" url="https://www.kbsec.com/go.able?linkcd=s01060201P200&amp;lineno=KR6017811995"/>
  </connection>
</connections>
</file>

<file path=xl/sharedStrings.xml><?xml version="1.0" encoding="utf-8"?>
<sst xmlns="http://schemas.openxmlformats.org/spreadsheetml/2006/main" count="202" uniqueCount="168">
  <si>
    <t>Maturity in Years</t>
    <phoneticPr fontId="2" type="noConversion"/>
  </si>
  <si>
    <t>Forward Rate</t>
    <phoneticPr fontId="2" type="noConversion"/>
  </si>
  <si>
    <t>1 month</t>
    <phoneticPr fontId="2" type="noConversion"/>
  </si>
  <si>
    <t>3 month</t>
    <phoneticPr fontId="2" type="noConversion"/>
  </si>
  <si>
    <t>6 month</t>
    <phoneticPr fontId="2" type="noConversion"/>
  </si>
  <si>
    <t>1 year</t>
    <phoneticPr fontId="2" type="noConversion"/>
  </si>
  <si>
    <t>2 years</t>
    <phoneticPr fontId="2" type="noConversion"/>
  </si>
  <si>
    <t>3 years</t>
    <phoneticPr fontId="2" type="noConversion"/>
  </si>
  <si>
    <t>4 years</t>
  </si>
  <si>
    <t>5 years</t>
  </si>
  <si>
    <t>10 years</t>
    <phoneticPr fontId="2" type="noConversion"/>
  </si>
  <si>
    <t>15 years</t>
    <phoneticPr fontId="2" type="noConversion"/>
  </si>
  <si>
    <t>20 years</t>
    <phoneticPr fontId="2" type="noConversion"/>
  </si>
  <si>
    <t>25 years</t>
    <phoneticPr fontId="2" type="noConversion"/>
  </si>
  <si>
    <t>30 years</t>
    <phoneticPr fontId="2" type="noConversion"/>
  </si>
  <si>
    <t>Remaining ife (Yrs, Life)</t>
    <phoneticPr fontId="2" type="noConversion"/>
  </si>
  <si>
    <t>Remaining Coupons</t>
    <phoneticPr fontId="2" type="noConversion"/>
  </si>
  <si>
    <t>Price</t>
    <phoneticPr fontId="2" type="noConversion"/>
  </si>
  <si>
    <t>Remaining Life (yrs)</t>
    <phoneticPr fontId="2" type="noConversion"/>
  </si>
  <si>
    <t>Remaining life (Yrs, Life)</t>
    <phoneticPr fontId="2" type="noConversion"/>
  </si>
  <si>
    <t>Time (yr)</t>
    <phoneticPr fontId="2" type="noConversion"/>
  </si>
  <si>
    <t>Yield Curve</t>
    <phoneticPr fontId="2" type="noConversion"/>
  </si>
  <si>
    <t>Bond Cash flows</t>
    <phoneticPr fontId="2" type="noConversion"/>
  </si>
  <si>
    <t>Present Value</t>
    <phoneticPr fontId="2" type="noConversion"/>
  </si>
  <si>
    <t>Calculated from cash flows</t>
    <phoneticPr fontId="2" type="noConversion"/>
  </si>
  <si>
    <t>Duration (Yrs)</t>
    <phoneticPr fontId="2" type="noConversion"/>
  </si>
  <si>
    <t>Modified duration (Yrs)</t>
    <phoneticPr fontId="2" type="noConversion"/>
  </si>
  <si>
    <t>Calaulated using functions</t>
    <phoneticPr fontId="2" type="noConversion"/>
  </si>
  <si>
    <t>Today's date</t>
    <phoneticPr fontId="2" type="noConversion"/>
  </si>
  <si>
    <t>Duration</t>
    <phoneticPr fontId="2" type="noConversion"/>
  </si>
  <si>
    <t>Modified duration</t>
    <phoneticPr fontId="2" type="noConversion"/>
  </si>
  <si>
    <t>Cash flow</t>
    <phoneticPr fontId="2" type="noConversion"/>
  </si>
  <si>
    <t>Coupon Number</t>
    <phoneticPr fontId="2" type="noConversion"/>
  </si>
  <si>
    <t>PV of Cash flow</t>
    <phoneticPr fontId="2" type="noConversion"/>
  </si>
  <si>
    <t>Weight</t>
    <phoneticPr fontId="2" type="noConversion"/>
  </si>
  <si>
    <t>Weight x Period</t>
    <phoneticPr fontId="2" type="noConversion"/>
  </si>
  <si>
    <t>YTM</t>
    <phoneticPr fontId="2" type="noConversion"/>
  </si>
  <si>
    <t>Modified Duration</t>
    <phoneticPr fontId="2" type="noConversion"/>
  </si>
  <si>
    <t>액면가 (Par Value)</t>
    <phoneticPr fontId="2" type="noConversion"/>
  </si>
  <si>
    <t>만기 (Time to Maturity)</t>
    <phoneticPr fontId="2" type="noConversion"/>
  </si>
  <si>
    <t>연간 이자율 (Coupon Rate)</t>
    <phoneticPr fontId="2" type="noConversion"/>
  </si>
  <si>
    <t>현재가 (Price)</t>
    <phoneticPr fontId="2" type="noConversion"/>
  </si>
  <si>
    <t>이자지급 횟수 (Frequency)</t>
    <phoneticPr fontId="2" type="noConversion"/>
  </si>
  <si>
    <t>수익률 (Yield to Maturity)</t>
    <phoneticPr fontId="2" type="noConversion"/>
  </si>
  <si>
    <t>듀레이션 (Macaulay Duration)</t>
    <phoneticPr fontId="2" type="noConversion"/>
  </si>
  <si>
    <t>Duration (yrs)</t>
    <phoneticPr fontId="2" type="noConversion"/>
  </si>
  <si>
    <t>Modified duration (yrs)</t>
    <phoneticPr fontId="2" type="noConversion"/>
  </si>
  <si>
    <t>Mduration</t>
    <phoneticPr fontId="2" type="noConversion"/>
  </si>
  <si>
    <t>만기일 : Maturity</t>
    <phoneticPr fontId="2" type="noConversion"/>
  </si>
  <si>
    <t>만기 수익률 : Yield to maturity (y)</t>
    <phoneticPr fontId="2" type="noConversion"/>
  </si>
  <si>
    <t>연간 표면금리 : Annual coupon rate (CR)</t>
    <phoneticPr fontId="2" type="noConversion"/>
  </si>
  <si>
    <t>연간 이자지급 횟수 : Coupon payment frequency (f)</t>
    <phoneticPr fontId="2" type="noConversion"/>
  </si>
  <si>
    <t>액면가 : Face value (Face)</t>
    <phoneticPr fontId="2" type="noConversion"/>
  </si>
  <si>
    <t>남아있는 쿠폰 횟수 : Remaining coupon (CPns)</t>
    <phoneticPr fontId="2" type="noConversion"/>
  </si>
  <si>
    <t>할인률/기간 : Discount rate/period (Disc)</t>
    <phoneticPr fontId="2" type="noConversion"/>
  </si>
  <si>
    <t>쿠폰 물량 : Coupon amount (CPmt)</t>
    <phoneticPr fontId="2" type="noConversion"/>
  </si>
  <si>
    <t xml:space="preserve">결제일(오늘) : Settlement date </t>
    <phoneticPr fontId="2" type="noConversion"/>
  </si>
  <si>
    <t>남아있는 쿠폰 횟수 : Remaining coupons (CPns)</t>
    <phoneticPr fontId="2" type="noConversion"/>
  </si>
  <si>
    <t>액면가 : Face value</t>
    <phoneticPr fontId="2" type="noConversion"/>
  </si>
  <si>
    <t>채권의 현재 가격 : Calculated bond price</t>
    <phoneticPr fontId="2" type="noConversion"/>
  </si>
  <si>
    <t>만기일 : Maturity date</t>
    <phoneticPr fontId="2" type="noConversion"/>
  </si>
  <si>
    <t>채권의 현재가 : Calculated bond price</t>
    <phoneticPr fontId="2" type="noConversion"/>
  </si>
  <si>
    <t>채권의 만기수익률 : Calculated yield to maturity</t>
    <phoneticPr fontId="2" type="noConversion"/>
  </si>
  <si>
    <t>만기수익률 : Yield to Maturity</t>
    <phoneticPr fontId="2" type="noConversion"/>
  </si>
  <si>
    <t>남아있는 쿠폰 횟수 : Remaining coupon (Cpns)</t>
    <phoneticPr fontId="2" type="noConversion"/>
  </si>
  <si>
    <t>할인률/기간Discount rate/period (Disc)</t>
    <phoneticPr fontId="2" type="noConversion"/>
  </si>
  <si>
    <t>쿠폰 물량 : Coupon amount (Cpmt)</t>
    <phoneticPr fontId="2" type="noConversion"/>
  </si>
  <si>
    <t>KR6017811995</t>
  </si>
  <si>
    <t>채권종목정보</t>
  </si>
  <si>
    <t>종목개요</t>
  </si>
  <si>
    <t>한글종목명</t>
  </si>
  <si>
    <t>영문종목명</t>
  </si>
  <si>
    <t>표준코드</t>
  </si>
  <si>
    <t>단축코드</t>
  </si>
  <si>
    <t>종목세부유형</t>
  </si>
  <si>
    <t>채권분류코드</t>
  </si>
  <si>
    <t>발행일</t>
  </si>
  <si>
    <t>만기일</t>
  </si>
  <si>
    <t>매출일</t>
  </si>
  <si>
    <t>옵션여부</t>
  </si>
  <si>
    <t>특이조건</t>
  </si>
  <si>
    <t>발행기관</t>
  </si>
  <si>
    <t>현금흐름</t>
  </si>
  <si>
    <t>이자지급방법</t>
  </si>
  <si>
    <t>표면이율(%)</t>
  </si>
  <si>
    <t>할인율(%)</t>
  </si>
  <si>
    <t>이자계산주기(월)</t>
  </si>
  <si>
    <t>이자지급일기준</t>
  </si>
  <si>
    <t>이자원단위처리</t>
  </si>
  <si>
    <t>전기이자지급일</t>
  </si>
  <si>
    <t>차기이자지급일</t>
  </si>
  <si>
    <t>선매출유형</t>
  </si>
  <si>
    <t>발행액(백만원)</t>
  </si>
  <si>
    <t>상장잔액(백만원)</t>
  </si>
  <si>
    <t>표시통화</t>
  </si>
  <si>
    <t>신용등급</t>
  </si>
  <si>
    <t>신용등급t</t>
  </si>
  <si>
    <t>한기평등급</t>
  </si>
  <si>
    <t>한신정등급</t>
  </si>
  <si>
    <t>한신평등급</t>
  </si>
  <si>
    <t>적용등급</t>
  </si>
  <si>
    <t>위험등급</t>
  </si>
  <si>
    <t>발행형태</t>
  </si>
  <si>
    <t>대용가(원)</t>
  </si>
  <si>
    <t>상장구분</t>
  </si>
  <si>
    <t>상장폐지일</t>
  </si>
  <si>
    <t>공모/사모</t>
  </si>
  <si>
    <t>선/후순위</t>
  </si>
  <si>
    <t>보증형태</t>
  </si>
  <si>
    <t>은행휴무</t>
  </si>
  <si>
    <t>이자지급</t>
  </si>
  <si>
    <t>원금지급</t>
  </si>
  <si>
    <t>주식관련정보</t>
  </si>
  <si>
    <t>권리구분</t>
  </si>
  <si>
    <t>만기보장수익률(%)</t>
  </si>
  <si>
    <t>만기상환율(%)</t>
  </si>
  <si>
    <t>대상주식명</t>
  </si>
  <si>
    <t>행사가격(원)</t>
  </si>
  <si>
    <t>행사비율(%)</t>
  </si>
  <si>
    <t>FRN</t>
  </si>
  <si>
    <t>가산금리(%)</t>
  </si>
  <si>
    <t>기준금리상한(%)</t>
  </si>
  <si>
    <t>기준금리하한(%)</t>
  </si>
  <si>
    <t>중도상환</t>
  </si>
  <si>
    <t>Call1차행사개시일</t>
  </si>
  <si>
    <t>Call1차행사종료일</t>
  </si>
  <si>
    <t>Put1차행사개시일</t>
  </si>
  <si>
    <t>Put1차행사종료일</t>
  </si>
  <si>
    <t>주식추가정보</t>
  </si>
  <si>
    <t>권리행사시작일</t>
  </si>
  <si>
    <t>권리행사종료일</t>
  </si>
  <si>
    <t>매도청구시작일</t>
  </si>
  <si>
    <t>매도청구종료일</t>
  </si>
  <si>
    <t>결산월</t>
  </si>
  <si>
    <t>분할상환</t>
  </si>
  <si>
    <t>분할상환구분</t>
  </si>
  <si>
    <t>원금거치기간</t>
  </si>
  <si>
    <t>분할횟수</t>
  </si>
  <si>
    <t>물가연동</t>
  </si>
  <si>
    <t>발행일참조지수</t>
  </si>
  <si>
    <t>물가연동계수</t>
  </si>
  <si>
    <t>알려드립니다!</t>
  </si>
  <si>
    <t>상품에 대한 상세문의는 금융상품상담 1588-6611 또는 전화상담예약을 이용하시기 바랍니다.</t>
  </si>
  <si>
    <t>본 내용은 정보제공을 목적으로 하는 것이며 상품의 판매나 권유를 위해 작성되는 것이 아닙니다.</t>
  </si>
  <si>
    <t>상기 수익율은 금리상황에 따라 변동이 가능합니다.</t>
  </si>
  <si>
    <t>이 금융투자상품은 예금자보호법에 따라 예금보험공사가 보호하지 않으며, 실적배당형 상품으로서 원본의 손실이 발생할 수 있습니다.</t>
  </si>
  <si>
    <t>당사는 본 채권에 대해 중도환매 및 원리금 지급 의무가 없으며 본 채권은 한국거래소에 상장되지 않으므로 유동성이 매우 제한됩니다.</t>
  </si>
  <si>
    <t>닫기</t>
  </si>
  <si>
    <t>풀무원66CB</t>
  </si>
  <si>
    <t>PMO66CB</t>
  </si>
  <si>
    <t>B01781199</t>
  </si>
  <si>
    <t>주식관련회사채</t>
  </si>
  <si>
    <t>전환사채</t>
  </si>
  <si>
    <t>(주)풀무원</t>
  </si>
  <si>
    <t>이표채(변동금리)</t>
  </si>
  <si>
    <t>절사</t>
  </si>
  <si>
    <t>한국</t>
  </si>
  <si>
    <t>BBB+</t>
  </si>
  <si>
    <t>중위험</t>
  </si>
  <si>
    <t>상장</t>
  </si>
  <si>
    <t>공모채간접발행</t>
  </si>
  <si>
    <t>후순위</t>
  </si>
  <si>
    <t>무보증</t>
  </si>
  <si>
    <t>직후영업일</t>
  </si>
  <si>
    <t>경과이자없음</t>
  </si>
  <si>
    <t>전환권</t>
  </si>
  <si>
    <t>풀무원</t>
  </si>
  <si>
    <t>풀무원5Y 민평4사평균+2.500%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</si>
</sst>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24" formatCode="\$#,##0_);[Red]\(\$#,##0\)"/>
    <numFmt numFmtId="26" formatCode="\$#,##0.00_);[Red]\(\$#,##0.00\)"/>
    <numFmt numFmtId="176" formatCode="\$#,##0.00"/>
    <numFmt numFmtId="177" formatCode="\$#,##0"/>
    <numFmt numFmtId="178" formatCode="0.0"/>
    <numFmt numFmtId="179" formatCode="0.0%"/>
    <numFmt numFmtId="180" formatCode="mm&quot;월&quot;\ dd&quot;일&quot;"/>
  </numFmts>
  <fonts count="8"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1"/>
      <color indexed="81"/>
      <name val="Tahoma"/>
      <family val="2"/>
    </font>
    <font>
      <sz val="10"/>
      <color indexed="81"/>
      <name val="Tahoma"/>
      <family val="2"/>
    </font>
    <font>
      <sz val="11"/>
      <color indexed="81"/>
      <name val="돋움"/>
      <family val="3"/>
      <charset val="129"/>
    </font>
    <font>
      <b/>
      <sz val="11"/>
      <color theme="1"/>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0" tint="-4.9989318521683403E-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s>
  <cellStyleXfs count="2">
    <xf numFmtId="0" fontId="0" fillId="0" borderId="0">
      <alignment vertical="center"/>
    </xf>
    <xf numFmtId="9" fontId="1" fillId="0" borderId="0" applyFont="0" applyFill="0" applyBorder="0" applyAlignment="0" applyProtection="0">
      <alignment vertical="center"/>
    </xf>
  </cellStyleXfs>
  <cellXfs count="60">
    <xf numFmtId="0" fontId="0" fillId="0" borderId="0" xfId="0">
      <alignment vertical="center"/>
    </xf>
    <xf numFmtId="0" fontId="0" fillId="2" borderId="1" xfId="0" applyFill="1" applyBorder="1">
      <alignment vertical="center"/>
    </xf>
    <xf numFmtId="0" fontId="0" fillId="3" borderId="1" xfId="0" applyFill="1" applyBorder="1">
      <alignment vertical="center"/>
    </xf>
    <xf numFmtId="10" fontId="0" fillId="0" borderId="1" xfId="1" applyNumberFormat="1" applyFont="1" applyBorder="1">
      <alignment vertical="center"/>
    </xf>
    <xf numFmtId="10" fontId="0" fillId="0" borderId="0" xfId="1" applyNumberFormat="1" applyFont="1">
      <alignment vertical="center"/>
    </xf>
    <xf numFmtId="0" fontId="0" fillId="4" borderId="1" xfId="1" applyNumberFormat="1" applyFont="1" applyFill="1" applyBorder="1">
      <alignment vertical="center"/>
    </xf>
    <xf numFmtId="24" fontId="0" fillId="4" borderId="1" xfId="1" applyNumberFormat="1" applyFont="1" applyFill="1" applyBorder="1">
      <alignment vertical="center"/>
    </xf>
    <xf numFmtId="0" fontId="0" fillId="4" borderId="1" xfId="0" applyFill="1" applyBorder="1">
      <alignment vertical="center"/>
    </xf>
    <xf numFmtId="176" fontId="0" fillId="0" borderId="1" xfId="1" applyNumberFormat="1" applyFont="1" applyBorder="1">
      <alignment vertical="center"/>
    </xf>
    <xf numFmtId="0" fontId="0" fillId="0" borderId="1" xfId="1" applyNumberFormat="1" applyFont="1" applyFill="1" applyBorder="1">
      <alignment vertical="center"/>
    </xf>
    <xf numFmtId="10" fontId="0" fillId="0" borderId="1" xfId="1" applyNumberFormat="1" applyFont="1" applyFill="1" applyBorder="1">
      <alignment vertical="center"/>
    </xf>
    <xf numFmtId="176" fontId="0" fillId="0" borderId="1" xfId="1" applyNumberFormat="1" applyFont="1" applyFill="1" applyBorder="1">
      <alignment vertical="center"/>
    </xf>
    <xf numFmtId="2" fontId="0" fillId="4" borderId="1" xfId="0" applyNumberFormat="1" applyFill="1" applyBorder="1">
      <alignment vertical="center"/>
    </xf>
    <xf numFmtId="10" fontId="0" fillId="4" borderId="1" xfId="0" applyNumberFormat="1" applyFill="1" applyBorder="1">
      <alignment vertical="center"/>
    </xf>
    <xf numFmtId="177" fontId="0" fillId="0" borderId="2" xfId="0" applyNumberFormat="1" applyBorder="1">
      <alignment vertical="center"/>
    </xf>
    <xf numFmtId="178" fontId="0" fillId="0" borderId="1" xfId="0" applyNumberFormat="1" applyBorder="1">
      <alignment vertical="center"/>
    </xf>
    <xf numFmtId="24" fontId="0" fillId="0" borderId="1" xfId="0" applyNumberFormat="1" applyBorder="1">
      <alignment vertical="center"/>
    </xf>
    <xf numFmtId="24" fontId="0" fillId="0" borderId="4" xfId="0" applyNumberFormat="1" applyBorder="1">
      <alignment vertical="center"/>
    </xf>
    <xf numFmtId="178" fontId="0" fillId="4" borderId="4" xfId="0" applyNumberFormat="1" applyFill="1" applyBorder="1">
      <alignment vertical="center"/>
    </xf>
    <xf numFmtId="10" fontId="0" fillId="4" borderId="1" xfId="1" applyNumberFormat="1" applyFont="1" applyFill="1" applyBorder="1">
      <alignment vertical="center"/>
    </xf>
    <xf numFmtId="177" fontId="0" fillId="4" borderId="1" xfId="0" applyNumberFormat="1" applyFill="1" applyBorder="1">
      <alignment vertical="center"/>
    </xf>
    <xf numFmtId="179" fontId="0" fillId="4" borderId="1" xfId="0" applyNumberFormat="1" applyFill="1" applyBorder="1">
      <alignment vertical="center"/>
    </xf>
    <xf numFmtId="179" fontId="0" fillId="4" borderId="1" xfId="1" applyNumberFormat="1" applyFont="1" applyFill="1" applyBorder="1">
      <alignment vertical="center"/>
    </xf>
    <xf numFmtId="177" fontId="0" fillId="0" borderId="1" xfId="0" applyNumberFormat="1" applyBorder="1">
      <alignment vertical="center"/>
    </xf>
    <xf numFmtId="10" fontId="0" fillId="0" borderId="1" xfId="0" applyNumberFormat="1" applyBorder="1">
      <alignment vertical="center"/>
    </xf>
    <xf numFmtId="176" fontId="0" fillId="0" borderId="1" xfId="0" applyNumberFormat="1" applyBorder="1">
      <alignment vertical="center"/>
    </xf>
    <xf numFmtId="0" fontId="0" fillId="0" borderId="1" xfId="0" applyNumberFormat="1" applyBorder="1">
      <alignment vertical="center"/>
    </xf>
    <xf numFmtId="26" fontId="0" fillId="0" borderId="1" xfId="0" applyNumberFormat="1" applyBorder="1">
      <alignment vertical="center"/>
    </xf>
    <xf numFmtId="2" fontId="0" fillId="0" borderId="1" xfId="0" applyNumberFormat="1" applyBorder="1">
      <alignment vertical="center"/>
    </xf>
    <xf numFmtId="14" fontId="0" fillId="4" borderId="1" xfId="0" applyNumberFormat="1" applyFill="1" applyBorder="1">
      <alignment vertical="center"/>
    </xf>
    <xf numFmtId="178" fontId="0" fillId="0" borderId="4" xfId="0" applyNumberFormat="1" applyBorder="1">
      <alignment vertical="center"/>
    </xf>
    <xf numFmtId="178" fontId="0" fillId="0" borderId="2" xfId="0" applyNumberFormat="1" applyBorder="1">
      <alignment vertical="center"/>
    </xf>
    <xf numFmtId="179" fontId="0" fillId="4" borderId="4" xfId="1" applyNumberFormat="1" applyFont="1" applyFill="1" applyBorder="1">
      <alignment vertical="center"/>
    </xf>
    <xf numFmtId="10" fontId="0" fillId="0" borderId="1" xfId="0" applyNumberFormat="1" applyFill="1" applyBorder="1">
      <alignment vertical="center"/>
    </xf>
    <xf numFmtId="0" fontId="0" fillId="0" borderId="1" xfId="0" applyFill="1" applyBorder="1">
      <alignment vertical="center"/>
    </xf>
    <xf numFmtId="0" fontId="0" fillId="0" borderId="1" xfId="0" applyBorder="1">
      <alignment vertical="center"/>
    </xf>
    <xf numFmtId="0" fontId="0" fillId="0" borderId="0" xfId="0" applyBorder="1">
      <alignment vertical="center"/>
    </xf>
    <xf numFmtId="14" fontId="0" fillId="0" borderId="1" xfId="0" applyNumberFormat="1" applyBorder="1">
      <alignment vertical="center"/>
    </xf>
    <xf numFmtId="178" fontId="0" fillId="0" borderId="1" xfId="0" applyNumberFormat="1" applyFill="1" applyBorder="1">
      <alignment vertical="center"/>
    </xf>
    <xf numFmtId="178" fontId="0" fillId="0" borderId="8" xfId="0" applyNumberFormat="1" applyFill="1" applyBorder="1">
      <alignment vertical="center"/>
    </xf>
    <xf numFmtId="2" fontId="0" fillId="0" borderId="2" xfId="0" applyNumberFormat="1" applyBorder="1">
      <alignment vertical="center"/>
    </xf>
    <xf numFmtId="2" fontId="0" fillId="0" borderId="4" xfId="0" applyNumberFormat="1" applyBorder="1">
      <alignment vertical="center"/>
    </xf>
    <xf numFmtId="14" fontId="0" fillId="0" borderId="0" xfId="0" applyNumberFormat="1">
      <alignment vertical="center"/>
    </xf>
    <xf numFmtId="14" fontId="0" fillId="0" borderId="1" xfId="0" applyNumberFormat="1" applyFill="1" applyBorder="1">
      <alignment vertical="center"/>
    </xf>
    <xf numFmtId="10" fontId="0" fillId="0" borderId="0" xfId="0" applyNumberFormat="1">
      <alignment vertical="center"/>
    </xf>
    <xf numFmtId="3" fontId="0" fillId="0" borderId="0" xfId="0" applyNumberFormat="1">
      <alignment vertical="center"/>
    </xf>
    <xf numFmtId="180" fontId="0" fillId="0" borderId="0" xfId="0" applyNumberFormat="1">
      <alignment vertical="center"/>
    </xf>
    <xf numFmtId="0" fontId="0" fillId="4" borderId="1" xfId="0" applyNumberFormat="1" applyFill="1" applyBorder="1">
      <alignment vertical="center"/>
    </xf>
    <xf numFmtId="0" fontId="0" fillId="3" borderId="3" xfId="0" applyFill="1" applyBorder="1" applyAlignment="1">
      <alignment horizontal="center" vertical="center"/>
    </xf>
    <xf numFmtId="0" fontId="0" fillId="3" borderId="5" xfId="0" applyFill="1" applyBorder="1" applyAlignment="1">
      <alignment horizontal="center" vertical="center"/>
    </xf>
    <xf numFmtId="0" fontId="0" fillId="3" borderId="1" xfId="0" applyFill="1" applyBorder="1" applyAlignment="1">
      <alignment horizontal="center" vertical="center"/>
    </xf>
    <xf numFmtId="0" fontId="0" fillId="2" borderId="6" xfId="0" applyFill="1" applyBorder="1" applyAlignment="1">
      <alignment horizontal="center" vertical="center"/>
    </xf>
    <xf numFmtId="0" fontId="0" fillId="2" borderId="3" xfId="0" applyFill="1" applyBorder="1" applyAlignment="1">
      <alignment horizontal="center" vertical="center"/>
    </xf>
    <xf numFmtId="0" fontId="0" fillId="2" borderId="7" xfId="0" applyFill="1" applyBorder="1" applyAlignment="1">
      <alignment horizontal="center" vertical="center"/>
    </xf>
    <xf numFmtId="0" fontId="0" fillId="2" borderId="4" xfId="0" applyFill="1" applyBorder="1" applyAlignment="1">
      <alignment horizontal="center" vertical="center"/>
    </xf>
    <xf numFmtId="0" fontId="6" fillId="0" borderId="1" xfId="0" applyFont="1" applyBorder="1" applyAlignment="1">
      <alignment horizontal="center" vertical="center"/>
    </xf>
    <xf numFmtId="0" fontId="6" fillId="0" borderId="6" xfId="0" applyFont="1" applyBorder="1" applyAlignment="1">
      <alignment horizontal="center" vertical="center"/>
    </xf>
    <xf numFmtId="0" fontId="6" fillId="0" borderId="8" xfId="0" applyFont="1" applyBorder="1" applyAlignment="1">
      <alignment horizontal="center" vertical="center"/>
    </xf>
    <xf numFmtId="0" fontId="0" fillId="2" borderId="5" xfId="0" applyFill="1" applyBorder="1" applyAlignment="1">
      <alignment horizontal="center" vertical="center"/>
    </xf>
    <xf numFmtId="0" fontId="0" fillId="3" borderId="2" xfId="0" applyFill="1" applyBorder="1" applyAlignment="1">
      <alignment horizontal="center" vertical="center"/>
    </xf>
  </cellXfs>
  <cellStyles count="2">
    <cellStyle name="백분율" xfId="1" builtinId="5"/>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Yield Curve and Forward</a:t>
            </a:r>
            <a:r>
              <a:rPr lang="en-US" altLang="ko-KR" baseline="0"/>
              <a:t> Rates</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17499781277340332"/>
          <c:y val="0.14985858585858586"/>
          <c:w val="0.76596062992125979"/>
          <c:h val="0.6712386860733317"/>
        </c:manualLayout>
      </c:layout>
      <c:scatterChart>
        <c:scatterStyle val="lineMarker"/>
        <c:varyColors val="0"/>
        <c:ser>
          <c:idx val="0"/>
          <c:order val="0"/>
          <c:tx>
            <c:strRef>
              <c:f>'Model 1'!$C$3</c:f>
              <c:strCache>
                <c:ptCount val="1"/>
                <c:pt idx="0">
                  <c:v>만기수익률 : Yield to Maturity</c:v>
                </c:pt>
              </c:strCache>
            </c:strRef>
          </c:tx>
          <c:spPr>
            <a:ln w="19050" cap="rnd">
              <a:solidFill>
                <a:schemeClr val="accent1"/>
              </a:solidFill>
              <a:round/>
            </a:ln>
            <a:effectLst/>
          </c:spPr>
          <c:marker>
            <c:symbol val="circle"/>
            <c:size val="5"/>
            <c:spPr>
              <a:solidFill>
                <a:schemeClr val="accent1"/>
              </a:solidFill>
              <a:ln w="9525">
                <a:solidFill>
                  <a:schemeClr val="accent1"/>
                </a:solidFill>
                <a:miter lim="800000"/>
              </a:ln>
              <a:effectLst/>
            </c:spPr>
          </c:marker>
          <c:xVal>
            <c:numRef>
              <c:f>'Model 1'!$B$4:$B$16</c:f>
              <c:numCache>
                <c:formatCode>0.00</c:formatCode>
                <c:ptCount val="13"/>
                <c:pt idx="0">
                  <c:v>0.08</c:v>
                </c:pt>
                <c:pt idx="1">
                  <c:v>0.25</c:v>
                </c:pt>
                <c:pt idx="2">
                  <c:v>0.5</c:v>
                </c:pt>
                <c:pt idx="3">
                  <c:v>1</c:v>
                </c:pt>
                <c:pt idx="4">
                  <c:v>2</c:v>
                </c:pt>
                <c:pt idx="5">
                  <c:v>3</c:v>
                </c:pt>
                <c:pt idx="6">
                  <c:v>4</c:v>
                </c:pt>
                <c:pt idx="7">
                  <c:v>5</c:v>
                </c:pt>
                <c:pt idx="8">
                  <c:v>10</c:v>
                </c:pt>
                <c:pt idx="9">
                  <c:v>15</c:v>
                </c:pt>
                <c:pt idx="10">
                  <c:v>20</c:v>
                </c:pt>
                <c:pt idx="11">
                  <c:v>25</c:v>
                </c:pt>
                <c:pt idx="12">
                  <c:v>30</c:v>
                </c:pt>
              </c:numCache>
            </c:numRef>
          </c:xVal>
          <c:yVal>
            <c:numRef>
              <c:f>'Model 1'!$C$4:$C$16</c:f>
              <c:numCache>
                <c:formatCode>0.00%</c:formatCode>
                <c:ptCount val="13"/>
                <c:pt idx="0">
                  <c:v>0.03</c:v>
                </c:pt>
                <c:pt idx="1">
                  <c:v>3.1E-2</c:v>
                </c:pt>
                <c:pt idx="2">
                  <c:v>3.2000000000000001E-2</c:v>
                </c:pt>
                <c:pt idx="3">
                  <c:v>3.5000000000000003E-2</c:v>
                </c:pt>
                <c:pt idx="4">
                  <c:v>4.4999999999999998E-2</c:v>
                </c:pt>
                <c:pt idx="5">
                  <c:v>5.0999999999999997E-2</c:v>
                </c:pt>
                <c:pt idx="6">
                  <c:v>5.7000000000000002E-2</c:v>
                </c:pt>
                <c:pt idx="7">
                  <c:v>6.0999999999999999E-2</c:v>
                </c:pt>
                <c:pt idx="8">
                  <c:v>7.2999999999999995E-2</c:v>
                </c:pt>
                <c:pt idx="9">
                  <c:v>7.9000000000000001E-2</c:v>
                </c:pt>
                <c:pt idx="10">
                  <c:v>8.2000000000000003E-2</c:v>
                </c:pt>
                <c:pt idx="11">
                  <c:v>8.3000000000000004E-2</c:v>
                </c:pt>
                <c:pt idx="12">
                  <c:v>7.9000000000000001E-2</c:v>
                </c:pt>
              </c:numCache>
            </c:numRef>
          </c:yVal>
          <c:smooth val="0"/>
          <c:extLst>
            <c:ext xmlns:c16="http://schemas.microsoft.com/office/drawing/2014/chart" uri="{C3380CC4-5D6E-409C-BE32-E72D297353CC}">
              <c16:uniqueId val="{00000000-830E-41DD-AAAC-2F06776AF282}"/>
            </c:ext>
          </c:extLst>
        </c:ser>
        <c:ser>
          <c:idx val="1"/>
          <c:order val="1"/>
          <c:tx>
            <c:strRef>
              <c:f>'Model 1'!$D$3</c:f>
              <c:strCache>
                <c:ptCount val="1"/>
                <c:pt idx="0">
                  <c:v>Forward Rate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'Model 1'!$B$4:$B$16</c:f>
              <c:numCache>
                <c:formatCode>0.00</c:formatCode>
                <c:ptCount val="13"/>
                <c:pt idx="0">
                  <c:v>0.08</c:v>
                </c:pt>
                <c:pt idx="1">
                  <c:v>0.25</c:v>
                </c:pt>
                <c:pt idx="2">
                  <c:v>0.5</c:v>
                </c:pt>
                <c:pt idx="3">
                  <c:v>1</c:v>
                </c:pt>
                <c:pt idx="4">
                  <c:v>2</c:v>
                </c:pt>
                <c:pt idx="5">
                  <c:v>3</c:v>
                </c:pt>
                <c:pt idx="6">
                  <c:v>4</c:v>
                </c:pt>
                <c:pt idx="7">
                  <c:v>5</c:v>
                </c:pt>
                <c:pt idx="8">
                  <c:v>10</c:v>
                </c:pt>
                <c:pt idx="9">
                  <c:v>15</c:v>
                </c:pt>
                <c:pt idx="10">
                  <c:v>20</c:v>
                </c:pt>
                <c:pt idx="11">
                  <c:v>25</c:v>
                </c:pt>
                <c:pt idx="12">
                  <c:v>30</c:v>
                </c:pt>
              </c:numCache>
            </c:numRef>
          </c:xVal>
          <c:yVal>
            <c:numRef>
              <c:f>'Model 1'!$D$4:$D$16</c:f>
              <c:numCache>
                <c:formatCode>0.00%</c:formatCode>
                <c:ptCount val="13"/>
                <c:pt idx="0">
                  <c:v>3.0000000000000471E-2</c:v>
                </c:pt>
                <c:pt idx="1">
                  <c:v>3.1470924120243993E-2</c:v>
                </c:pt>
                <c:pt idx="2">
                  <c:v>3.3000969932105439E-2</c:v>
                </c:pt>
                <c:pt idx="3">
                  <c:v>3.8008720930232442E-2</c:v>
                </c:pt>
                <c:pt idx="4">
                  <c:v>5.5096618357487914E-2</c:v>
                </c:pt>
                <c:pt idx="5">
                  <c:v>6.3103547079966349E-2</c:v>
                </c:pt>
                <c:pt idx="6">
                  <c:v>7.5206301852986934E-2</c:v>
                </c:pt>
                <c:pt idx="7">
                  <c:v>7.7151945727309545E-2</c:v>
                </c:pt>
                <c:pt idx="8">
                  <c:v>8.5135721017907562E-2</c:v>
                </c:pt>
                <c:pt idx="9">
                  <c:v>9.1100839985790438E-2</c:v>
                </c:pt>
                <c:pt idx="10">
                  <c:v>9.1050139167981436E-2</c:v>
                </c:pt>
                <c:pt idx="11">
                  <c:v>8.7009250689847883E-2</c:v>
                </c:pt>
                <c:pt idx="12">
                  <c:v>5.9220518344422324E-2</c:v>
                </c:pt>
              </c:numCache>
            </c:numRef>
          </c:yVal>
          <c:smooth val="0"/>
          <c:extLst>
            <c:ext xmlns:c16="http://schemas.microsoft.com/office/drawing/2014/chart" uri="{C3380CC4-5D6E-409C-BE32-E72D297353CC}">
              <c16:uniqueId val="{00000001-830E-41DD-AAAC-2F06776AF282}"/>
            </c:ext>
          </c:extLst>
        </c:ser>
        <c:dLbls>
          <c:showLegendKey val="0"/>
          <c:showVal val="0"/>
          <c:showCatName val="0"/>
          <c:showSerName val="0"/>
          <c:showPercent val="0"/>
          <c:showBubbleSize val="0"/>
        </c:dLbls>
        <c:axId val="244789567"/>
        <c:axId val="250905679"/>
      </c:scatterChart>
      <c:valAx>
        <c:axId val="244789567"/>
        <c:scaling>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Maturity</a:t>
                </a:r>
                <a:r>
                  <a:rPr lang="en-US" altLang="ko-KR" baseline="0"/>
                  <a:t> (years)</a:t>
                </a:r>
                <a:endParaRPr lang="ko-KR"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50905679"/>
        <c:crosses val="autoZero"/>
        <c:crossBetween val="midCat"/>
      </c:valAx>
      <c:valAx>
        <c:axId val="250905679"/>
        <c:scaling>
          <c:orientation val="minMax"/>
          <c:min val="3.0000000000000006E-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Rates (annualized)</a:t>
                </a:r>
                <a:endParaRPr lang="ko-KR"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44789567"/>
        <c:crosses val="autoZero"/>
        <c:crossBetween val="midCat"/>
      </c:valAx>
      <c:spPr>
        <a:noFill/>
        <a:ln>
          <a:noFill/>
        </a:ln>
        <a:effectLst/>
      </c:spPr>
    </c:plotArea>
    <c:legend>
      <c:legendPos val="b"/>
      <c:layout>
        <c:manualLayout>
          <c:xMode val="edge"/>
          <c:yMode val="edge"/>
          <c:x val="0.24617650918635176"/>
          <c:y val="0.69098194543863833"/>
          <c:w val="0.7093790463692039"/>
          <c:h val="6.818229539489383E-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Bond Price vs. Remaining Life</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5.2708223972003497E-2"/>
          <c:y val="0.17171296296296296"/>
          <c:w val="0.77191885389326331"/>
          <c:h val="0.64123468941382322"/>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'Model 2'!$D$26:$D$86</c:f>
              <c:numCache>
                <c:formatCode>0.0</c:formatCode>
                <c:ptCount val="61"/>
                <c:pt idx="0">
                  <c:v>30</c:v>
                </c:pt>
                <c:pt idx="1">
                  <c:v>29.5</c:v>
                </c:pt>
                <c:pt idx="2">
                  <c:v>29</c:v>
                </c:pt>
                <c:pt idx="3">
                  <c:v>28.5</c:v>
                </c:pt>
                <c:pt idx="4">
                  <c:v>28</c:v>
                </c:pt>
                <c:pt idx="5">
                  <c:v>27.5</c:v>
                </c:pt>
                <c:pt idx="6">
                  <c:v>27</c:v>
                </c:pt>
                <c:pt idx="7">
                  <c:v>26.5</c:v>
                </c:pt>
                <c:pt idx="8">
                  <c:v>26</c:v>
                </c:pt>
                <c:pt idx="9">
                  <c:v>25.5</c:v>
                </c:pt>
                <c:pt idx="10">
                  <c:v>25</c:v>
                </c:pt>
                <c:pt idx="11">
                  <c:v>24.5</c:v>
                </c:pt>
                <c:pt idx="12">
                  <c:v>24</c:v>
                </c:pt>
                <c:pt idx="13">
                  <c:v>23.5</c:v>
                </c:pt>
                <c:pt idx="14">
                  <c:v>23</c:v>
                </c:pt>
                <c:pt idx="15">
                  <c:v>22.5</c:v>
                </c:pt>
                <c:pt idx="16">
                  <c:v>22</c:v>
                </c:pt>
                <c:pt idx="17">
                  <c:v>21.5</c:v>
                </c:pt>
                <c:pt idx="18">
                  <c:v>21</c:v>
                </c:pt>
                <c:pt idx="19">
                  <c:v>20.5</c:v>
                </c:pt>
                <c:pt idx="20">
                  <c:v>20</c:v>
                </c:pt>
                <c:pt idx="21">
                  <c:v>19.5</c:v>
                </c:pt>
                <c:pt idx="22">
                  <c:v>19</c:v>
                </c:pt>
                <c:pt idx="23">
                  <c:v>18.5</c:v>
                </c:pt>
                <c:pt idx="24">
                  <c:v>18</c:v>
                </c:pt>
                <c:pt idx="25">
                  <c:v>17.5</c:v>
                </c:pt>
                <c:pt idx="26">
                  <c:v>17</c:v>
                </c:pt>
                <c:pt idx="27">
                  <c:v>16.5</c:v>
                </c:pt>
                <c:pt idx="28">
                  <c:v>16</c:v>
                </c:pt>
                <c:pt idx="29">
                  <c:v>15.5</c:v>
                </c:pt>
                <c:pt idx="30">
                  <c:v>15</c:v>
                </c:pt>
                <c:pt idx="31">
                  <c:v>14.5</c:v>
                </c:pt>
                <c:pt idx="32">
                  <c:v>14</c:v>
                </c:pt>
                <c:pt idx="33">
                  <c:v>13.5</c:v>
                </c:pt>
                <c:pt idx="34">
                  <c:v>13</c:v>
                </c:pt>
                <c:pt idx="35">
                  <c:v>12.5</c:v>
                </c:pt>
                <c:pt idx="36">
                  <c:v>12</c:v>
                </c:pt>
                <c:pt idx="37">
                  <c:v>11.5</c:v>
                </c:pt>
                <c:pt idx="38">
                  <c:v>11</c:v>
                </c:pt>
                <c:pt idx="39">
                  <c:v>10.5</c:v>
                </c:pt>
                <c:pt idx="40">
                  <c:v>10</c:v>
                </c:pt>
                <c:pt idx="41">
                  <c:v>9.5</c:v>
                </c:pt>
                <c:pt idx="42">
                  <c:v>9</c:v>
                </c:pt>
                <c:pt idx="43">
                  <c:v>8.5</c:v>
                </c:pt>
                <c:pt idx="44">
                  <c:v>8</c:v>
                </c:pt>
                <c:pt idx="45">
                  <c:v>7.5</c:v>
                </c:pt>
                <c:pt idx="46">
                  <c:v>7</c:v>
                </c:pt>
                <c:pt idx="47">
                  <c:v>6.5</c:v>
                </c:pt>
                <c:pt idx="48">
                  <c:v>6</c:v>
                </c:pt>
                <c:pt idx="49">
                  <c:v>5.5</c:v>
                </c:pt>
                <c:pt idx="50">
                  <c:v>5</c:v>
                </c:pt>
                <c:pt idx="51">
                  <c:v>4.5</c:v>
                </c:pt>
                <c:pt idx="52">
                  <c:v>4</c:v>
                </c:pt>
                <c:pt idx="53">
                  <c:v>3.5</c:v>
                </c:pt>
                <c:pt idx="54">
                  <c:v>3</c:v>
                </c:pt>
                <c:pt idx="55">
                  <c:v>2.5</c:v>
                </c:pt>
                <c:pt idx="56">
                  <c:v>2</c:v>
                </c:pt>
                <c:pt idx="57">
                  <c:v>1.5</c:v>
                </c:pt>
                <c:pt idx="58">
                  <c:v>1</c:v>
                </c:pt>
                <c:pt idx="59">
                  <c:v>0.5</c:v>
                </c:pt>
                <c:pt idx="60">
                  <c:v>0</c:v>
                </c:pt>
              </c:numCache>
            </c:numRef>
          </c:xVal>
          <c:yVal>
            <c:numRef>
              <c:f>'Model 2'!$C$26:$C$86</c:f>
              <c:numCache>
                <c:formatCode>\$#,##0_);[Red]\(\$#,##0\)</c:formatCode>
                <c:ptCount val="61"/>
                <c:pt idx="0">
                  <c:v>935.26450576480306</c:v>
                </c:pt>
                <c:pt idx="1">
                  <c:v>935.77558939739345</c:v>
                </c:pt>
                <c:pt idx="2">
                  <c:v>936.29842795353352</c:v>
                </c:pt>
                <c:pt idx="3">
                  <c:v>936.83329179646466</c:v>
                </c:pt>
                <c:pt idx="4">
                  <c:v>937.38045750778349</c:v>
                </c:pt>
                <c:pt idx="5">
                  <c:v>937.94020803046249</c:v>
                </c:pt>
                <c:pt idx="6">
                  <c:v>938.51283281516294</c:v>
                </c:pt>
                <c:pt idx="7">
                  <c:v>939.09862796991183</c:v>
                </c:pt>
                <c:pt idx="8">
                  <c:v>939.69789641321984</c:v>
                </c:pt>
                <c:pt idx="9">
                  <c:v>940.31094803072381</c:v>
                </c:pt>
                <c:pt idx="10">
                  <c:v>940.93809983543053</c:v>
                </c:pt>
                <c:pt idx="11">
                  <c:v>941.57967613164533</c:v>
                </c:pt>
                <c:pt idx="12">
                  <c:v>942.23600868267329</c:v>
                </c:pt>
                <c:pt idx="13">
                  <c:v>942.90743688237467</c:v>
                </c:pt>
                <c:pt idx="14">
                  <c:v>943.59430793066917</c:v>
                </c:pt>
                <c:pt idx="15">
                  <c:v>944.29697701307464</c:v>
                </c:pt>
                <c:pt idx="16">
                  <c:v>945.01580748437539</c:v>
                </c:pt>
                <c:pt idx="17">
                  <c:v>945.75117105651611</c:v>
                </c:pt>
                <c:pt idx="18">
                  <c:v>946.50344799081574</c:v>
                </c:pt>
                <c:pt idx="19">
                  <c:v>947.27302729460462</c:v>
                </c:pt>
                <c:pt idx="20">
                  <c:v>948.06030692238051</c:v>
                </c:pt>
                <c:pt idx="21">
                  <c:v>948.8656939815952</c:v>
                </c:pt>
                <c:pt idx="22">
                  <c:v>949.68960494317207</c:v>
                </c:pt>
                <c:pt idx="23">
                  <c:v>950.53246585686497</c:v>
                </c:pt>
                <c:pt idx="24">
                  <c:v>951.39471257157288</c:v>
                </c:pt>
                <c:pt idx="25">
                  <c:v>952.27679096071893</c:v>
                </c:pt>
                <c:pt idx="26">
                  <c:v>953.17915715281538</c:v>
                </c:pt>
                <c:pt idx="27">
                  <c:v>954.10227776733029</c:v>
                </c:pt>
                <c:pt idx="28">
                  <c:v>955.04663015597885</c:v>
                </c:pt>
                <c:pt idx="29">
                  <c:v>956.01270264956634</c:v>
                </c:pt>
                <c:pt idx="30">
                  <c:v>957.00099481050643</c:v>
                </c:pt>
                <c:pt idx="31">
                  <c:v>958.012017691148</c:v>
                </c:pt>
                <c:pt idx="32">
                  <c:v>959.04629409804443</c:v>
                </c:pt>
                <c:pt idx="33">
                  <c:v>960.10435886229936</c:v>
                </c:pt>
                <c:pt idx="34">
                  <c:v>961.18675911613229</c:v>
                </c:pt>
                <c:pt idx="35">
                  <c:v>962.29405457580344</c:v>
                </c:pt>
                <c:pt idx="36">
                  <c:v>963.42681783104695</c:v>
                </c:pt>
                <c:pt idx="37">
                  <c:v>964.58563464116094</c:v>
                </c:pt>
                <c:pt idx="38">
                  <c:v>965.77110423790759</c:v>
                </c:pt>
                <c:pt idx="39">
                  <c:v>966.98383963537947</c:v>
                </c:pt>
                <c:pt idx="40">
                  <c:v>968.22446794699329</c:v>
                </c:pt>
                <c:pt idx="41">
                  <c:v>969.49363070977404</c:v>
                </c:pt>
                <c:pt idx="42">
                  <c:v>970.79198421609885</c:v>
                </c:pt>
                <c:pt idx="43">
                  <c:v>972.12019985306915</c:v>
                </c:pt>
                <c:pt idx="44">
                  <c:v>973.47896444968967</c:v>
                </c:pt>
                <c:pt idx="45">
                  <c:v>974.8689806320325</c:v>
                </c:pt>
                <c:pt idx="46">
                  <c:v>976.29096718656933</c:v>
                </c:pt>
                <c:pt idx="47">
                  <c:v>977.74565943186042</c:v>
                </c:pt>
                <c:pt idx="48">
                  <c:v>979.23380959879307</c:v>
                </c:pt>
                <c:pt idx="49">
                  <c:v>980.7561872195655</c:v>
                </c:pt>
                <c:pt idx="50">
                  <c:v>982.31357952561541</c:v>
                </c:pt>
                <c:pt idx="51">
                  <c:v>983.90679185470458</c:v>
                </c:pt>
                <c:pt idx="52">
                  <c:v>985.53664806736276</c:v>
                </c:pt>
                <c:pt idx="53">
                  <c:v>987.20399097291215</c:v>
                </c:pt>
                <c:pt idx="54">
                  <c:v>988.90968276528895</c:v>
                </c:pt>
                <c:pt idx="55">
                  <c:v>990.65460546889062</c:v>
                </c:pt>
                <c:pt idx="56">
                  <c:v>992.43966139467511</c:v>
                </c:pt>
                <c:pt idx="57">
                  <c:v>994.26577360675265</c:v>
                </c:pt>
                <c:pt idx="58">
                  <c:v>996.13388639970788</c:v>
                </c:pt>
                <c:pt idx="59">
                  <c:v>998.04496578690123</c:v>
                </c:pt>
                <c:pt idx="60">
                  <c:v>1000</c:v>
                </c:pt>
              </c:numCache>
            </c:numRef>
          </c:yVal>
          <c:smooth val="0"/>
          <c:extLst>
            <c:ext xmlns:c16="http://schemas.microsoft.com/office/drawing/2014/chart" uri="{C3380CC4-5D6E-409C-BE32-E72D297353CC}">
              <c16:uniqueId val="{00000000-71E0-4B4C-B7FE-C327634EB548}"/>
            </c:ext>
          </c:extLst>
        </c:ser>
        <c:dLbls>
          <c:showLegendKey val="0"/>
          <c:showVal val="0"/>
          <c:showCatName val="0"/>
          <c:showSerName val="0"/>
          <c:showPercent val="0"/>
          <c:showBubbleSize val="0"/>
        </c:dLbls>
        <c:axId val="1550117600"/>
        <c:axId val="1490257216"/>
      </c:scatterChart>
      <c:valAx>
        <c:axId val="1550117600"/>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Remaining life (years)</a:t>
                </a:r>
                <a:endParaRPr lang="ko-KR"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90257216"/>
        <c:crosses val="autoZero"/>
        <c:crossBetween val="midCat"/>
      </c:valAx>
      <c:valAx>
        <c:axId val="1490257216"/>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Bond price</a:t>
                </a:r>
                <a:endParaRPr lang="ko-KR"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501176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Yield Curve</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13934894396739045"/>
          <c:y val="0.1732165472525436"/>
          <c:w val="0.81683572471313204"/>
          <c:h val="0.65677387706351587"/>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'Model 3'!$C$25:$C$35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'Model 3'!$D$25:$D$35</c:f>
              <c:numCache>
                <c:formatCode>0.0%</c:formatCode>
                <c:ptCount val="11"/>
                <c:pt idx="1">
                  <c:v>0.01</c:v>
                </c:pt>
                <c:pt idx="2">
                  <c:v>2.1999999999999999E-2</c:v>
                </c:pt>
                <c:pt idx="3">
                  <c:v>3.1E-2</c:v>
                </c:pt>
                <c:pt idx="4">
                  <c:v>0.04</c:v>
                </c:pt>
                <c:pt idx="5">
                  <c:v>4.4999999999999998E-2</c:v>
                </c:pt>
                <c:pt idx="6">
                  <c:v>0.05</c:v>
                </c:pt>
                <c:pt idx="7">
                  <c:v>5.2999999999999999E-2</c:v>
                </c:pt>
                <c:pt idx="8">
                  <c:v>5.5E-2</c:v>
                </c:pt>
                <c:pt idx="9">
                  <c:v>5.7000000000000002E-2</c:v>
                </c:pt>
                <c:pt idx="10">
                  <c:v>5.8999999999999997E-2</c:v>
                </c:pt>
              </c:numCache>
            </c:numRef>
          </c:yVal>
          <c:smooth val="0"/>
          <c:extLst>
            <c:ext xmlns:c16="http://schemas.microsoft.com/office/drawing/2014/chart" uri="{C3380CC4-5D6E-409C-BE32-E72D297353CC}">
              <c16:uniqueId val="{00000000-BE1B-4015-B85B-4C4BDCBDEC58}"/>
            </c:ext>
          </c:extLst>
        </c:ser>
        <c:dLbls>
          <c:showLegendKey val="0"/>
          <c:showVal val="0"/>
          <c:showCatName val="0"/>
          <c:showSerName val="0"/>
          <c:showPercent val="0"/>
          <c:showBubbleSize val="0"/>
        </c:dLbls>
        <c:axId val="1720600831"/>
        <c:axId val="1285848207"/>
      </c:scatterChart>
      <c:valAx>
        <c:axId val="1720600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285848207"/>
        <c:crosses val="autoZero"/>
        <c:crossBetween val="midCat"/>
      </c:valAx>
      <c:valAx>
        <c:axId val="12858482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Zero coupon yield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206008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ko-K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Modified Duration vs. Yield to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13485839124585067"/>
          <c:y val="0.15008596496147189"/>
          <c:w val="0.80406828978455058"/>
          <c:h val="0.6661879860620783"/>
        </c:manualLayout>
      </c:layout>
      <c:scatterChart>
        <c:scatterStyle val="lineMarker"/>
        <c:varyColors val="0"/>
        <c:ser>
          <c:idx val="0"/>
          <c:order val="0"/>
          <c:tx>
            <c:strRef>
              <c:f>'Model 4'!$H$27</c:f>
              <c:strCache>
                <c:ptCount val="1"/>
                <c:pt idx="0">
                  <c:v>11.5</c:v>
                </c:pt>
              </c:strCache>
            </c:strRef>
          </c:tx>
          <c:spPr>
            <a:ln w="19050" cap="rnd">
              <a:solidFill>
                <a:schemeClr val="accent1"/>
              </a:solidFill>
              <a:round/>
            </a:ln>
            <a:effectLst/>
          </c:spPr>
          <c:marker>
            <c:symbol val="none"/>
          </c:marker>
          <c:xVal>
            <c:numRef>
              <c:f>'Model 4'!$G$28:$G$127</c:f>
              <c:numCache>
                <c:formatCode>0.0%</c:formatCode>
                <c:ptCount val="100"/>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1.0999999999999999E-2</c:v>
                </c:pt>
                <c:pt idx="11">
                  <c:v>1.2E-2</c:v>
                </c:pt>
                <c:pt idx="12">
                  <c:v>1.2999999999999999E-2</c:v>
                </c:pt>
                <c:pt idx="13">
                  <c:v>1.4E-2</c:v>
                </c:pt>
                <c:pt idx="14">
                  <c:v>1.4999999999999999E-2</c:v>
                </c:pt>
                <c:pt idx="15">
                  <c:v>1.6E-2</c:v>
                </c:pt>
                <c:pt idx="16">
                  <c:v>1.7000000000000001E-2</c:v>
                </c:pt>
                <c:pt idx="17">
                  <c:v>1.7999999999999999E-2</c:v>
                </c:pt>
                <c:pt idx="18">
                  <c:v>1.9E-2</c:v>
                </c:pt>
                <c:pt idx="19">
                  <c:v>0.02</c:v>
                </c:pt>
                <c:pt idx="20">
                  <c:v>2.1000000000000001E-2</c:v>
                </c:pt>
                <c:pt idx="21">
                  <c:v>2.1999999999999999E-2</c:v>
                </c:pt>
                <c:pt idx="22">
                  <c:v>2.3E-2</c:v>
                </c:pt>
                <c:pt idx="23">
                  <c:v>2.4E-2</c:v>
                </c:pt>
                <c:pt idx="24">
                  <c:v>2.5000000000000001E-2</c:v>
                </c:pt>
                <c:pt idx="25">
                  <c:v>2.5999999999999999E-2</c:v>
                </c:pt>
                <c:pt idx="26">
                  <c:v>2.7E-2</c:v>
                </c:pt>
                <c:pt idx="27">
                  <c:v>2.8000000000000001E-2</c:v>
                </c:pt>
                <c:pt idx="28">
                  <c:v>2.9000000000000001E-2</c:v>
                </c:pt>
                <c:pt idx="29">
                  <c:v>0.03</c:v>
                </c:pt>
                <c:pt idx="30">
                  <c:v>3.1E-2</c:v>
                </c:pt>
                <c:pt idx="31">
                  <c:v>3.2000000000000001E-2</c:v>
                </c:pt>
                <c:pt idx="32">
                  <c:v>3.3000000000000002E-2</c:v>
                </c:pt>
                <c:pt idx="33">
                  <c:v>3.4000000000000002E-2</c:v>
                </c:pt>
                <c:pt idx="34">
                  <c:v>3.5000000000000003E-2</c:v>
                </c:pt>
                <c:pt idx="35">
                  <c:v>3.5999999999999997E-2</c:v>
                </c:pt>
                <c:pt idx="36">
                  <c:v>3.6999999999999998E-2</c:v>
                </c:pt>
                <c:pt idx="37">
                  <c:v>3.7999999999999999E-2</c:v>
                </c:pt>
                <c:pt idx="38">
                  <c:v>3.9E-2</c:v>
                </c:pt>
                <c:pt idx="39">
                  <c:v>0.04</c:v>
                </c:pt>
                <c:pt idx="40">
                  <c:v>4.1000000000000002E-2</c:v>
                </c:pt>
                <c:pt idx="41">
                  <c:v>4.2000000000000003E-2</c:v>
                </c:pt>
                <c:pt idx="42">
                  <c:v>4.2999999999999997E-2</c:v>
                </c:pt>
                <c:pt idx="43">
                  <c:v>4.3999999999999997E-2</c:v>
                </c:pt>
                <c:pt idx="44">
                  <c:v>4.4999999999999998E-2</c:v>
                </c:pt>
                <c:pt idx="45">
                  <c:v>4.5999999999999999E-2</c:v>
                </c:pt>
                <c:pt idx="46">
                  <c:v>4.7E-2</c:v>
                </c:pt>
                <c:pt idx="47">
                  <c:v>4.8000000000000001E-2</c:v>
                </c:pt>
                <c:pt idx="48">
                  <c:v>4.9000000000000002E-2</c:v>
                </c:pt>
                <c:pt idx="49">
                  <c:v>0.05</c:v>
                </c:pt>
                <c:pt idx="50">
                  <c:v>5.0999999999999997E-2</c:v>
                </c:pt>
                <c:pt idx="51">
                  <c:v>5.1999999999999998E-2</c:v>
                </c:pt>
                <c:pt idx="52">
                  <c:v>5.2999999999999999E-2</c:v>
                </c:pt>
                <c:pt idx="53">
                  <c:v>5.3999999999999999E-2</c:v>
                </c:pt>
                <c:pt idx="54">
                  <c:v>5.5E-2</c:v>
                </c:pt>
                <c:pt idx="55">
                  <c:v>5.6000000000000001E-2</c:v>
                </c:pt>
                <c:pt idx="56">
                  <c:v>5.7000000000000002E-2</c:v>
                </c:pt>
                <c:pt idx="57">
                  <c:v>5.8000000000000003E-2</c:v>
                </c:pt>
                <c:pt idx="58">
                  <c:v>5.8999999999999997E-2</c:v>
                </c:pt>
                <c:pt idx="59">
                  <c:v>0.06</c:v>
                </c:pt>
                <c:pt idx="60">
                  <c:v>6.0999999999999999E-2</c:v>
                </c:pt>
                <c:pt idx="61">
                  <c:v>6.2E-2</c:v>
                </c:pt>
                <c:pt idx="62">
                  <c:v>6.3E-2</c:v>
                </c:pt>
                <c:pt idx="63">
                  <c:v>6.4000000000000001E-2</c:v>
                </c:pt>
                <c:pt idx="64">
                  <c:v>6.5000000000000002E-2</c:v>
                </c:pt>
                <c:pt idx="65">
                  <c:v>6.6000000000000003E-2</c:v>
                </c:pt>
                <c:pt idx="66">
                  <c:v>6.7000000000000004E-2</c:v>
                </c:pt>
                <c:pt idx="67">
                  <c:v>6.8000000000000005E-2</c:v>
                </c:pt>
                <c:pt idx="68">
                  <c:v>6.9000000000000006E-2</c:v>
                </c:pt>
                <c:pt idx="69">
                  <c:v>7.0000000000000007E-2</c:v>
                </c:pt>
                <c:pt idx="70">
                  <c:v>7.0999999999999994E-2</c:v>
                </c:pt>
                <c:pt idx="71">
                  <c:v>7.1999999999999995E-2</c:v>
                </c:pt>
                <c:pt idx="72">
                  <c:v>7.2999999999999995E-2</c:v>
                </c:pt>
                <c:pt idx="73">
                  <c:v>7.3999999999999996E-2</c:v>
                </c:pt>
                <c:pt idx="74">
                  <c:v>7.4999999999999997E-2</c:v>
                </c:pt>
                <c:pt idx="75">
                  <c:v>7.5999999999999998E-2</c:v>
                </c:pt>
                <c:pt idx="76">
                  <c:v>7.6999999999999999E-2</c:v>
                </c:pt>
                <c:pt idx="77">
                  <c:v>7.8E-2</c:v>
                </c:pt>
                <c:pt idx="78">
                  <c:v>7.9000000000000001E-2</c:v>
                </c:pt>
                <c:pt idx="79">
                  <c:v>0.08</c:v>
                </c:pt>
                <c:pt idx="80">
                  <c:v>8.1000000000000003E-2</c:v>
                </c:pt>
                <c:pt idx="81">
                  <c:v>8.2000000000000003E-2</c:v>
                </c:pt>
                <c:pt idx="82">
                  <c:v>8.3000000000000004E-2</c:v>
                </c:pt>
                <c:pt idx="83">
                  <c:v>8.4000000000000005E-2</c:v>
                </c:pt>
                <c:pt idx="84">
                  <c:v>8.5000000000000006E-2</c:v>
                </c:pt>
                <c:pt idx="85">
                  <c:v>8.5999999999999993E-2</c:v>
                </c:pt>
                <c:pt idx="86">
                  <c:v>8.6999999999999994E-2</c:v>
                </c:pt>
                <c:pt idx="87">
                  <c:v>8.7999999999999995E-2</c:v>
                </c:pt>
                <c:pt idx="88">
                  <c:v>8.8999999999999996E-2</c:v>
                </c:pt>
                <c:pt idx="89">
                  <c:v>0.09</c:v>
                </c:pt>
                <c:pt idx="90">
                  <c:v>9.0999999999999998E-2</c:v>
                </c:pt>
                <c:pt idx="91">
                  <c:v>9.1999999999999998E-2</c:v>
                </c:pt>
                <c:pt idx="92">
                  <c:v>9.2999999999999999E-2</c:v>
                </c:pt>
                <c:pt idx="93">
                  <c:v>9.4E-2</c:v>
                </c:pt>
                <c:pt idx="94">
                  <c:v>9.5000000000000001E-2</c:v>
                </c:pt>
                <c:pt idx="95">
                  <c:v>9.6000000000000002E-2</c:v>
                </c:pt>
                <c:pt idx="96">
                  <c:v>9.7000000000000003E-2</c:v>
                </c:pt>
                <c:pt idx="97">
                  <c:v>9.8000000000000004E-2</c:v>
                </c:pt>
                <c:pt idx="98">
                  <c:v>9.9000000000000005E-2</c:v>
                </c:pt>
                <c:pt idx="99">
                  <c:v>0.1</c:v>
                </c:pt>
              </c:numCache>
            </c:numRef>
          </c:xVal>
          <c:yVal>
            <c:numRef>
              <c:f>'Model 4'!$H$28:$H$127</c:f>
              <c:numCache>
                <c:formatCode>0.0</c:formatCode>
                <c:ptCount val="100"/>
                <c:pt idx="0">
                  <c:v>15.063046239966042</c:v>
                </c:pt>
                <c:pt idx="1">
                  <c:v>15.014807559921477</c:v>
                </c:pt>
                <c:pt idx="2">
                  <c:v>14.966396715539306</c:v>
                </c:pt>
                <c:pt idx="3">
                  <c:v>14.917815399567912</c:v>
                </c:pt>
                <c:pt idx="4">
                  <c:v>14.869065352918069</c:v>
                </c:pt>
                <c:pt idx="5">
                  <c:v>14.820148364615459</c:v>
                </c:pt>
                <c:pt idx="6">
                  <c:v>14.771066271729289</c:v>
                </c:pt>
                <c:pt idx="7">
                  <c:v>14.721820959276853</c:v>
                </c:pt>
                <c:pt idx="8">
                  <c:v>14.672414360103536</c:v>
                </c:pt>
                <c:pt idx="9">
                  <c:v>14.622848454738326</c:v>
                </c:pt>
                <c:pt idx="10">
                  <c:v>14.573125271224331</c:v>
                </c:pt>
                <c:pt idx="11">
                  <c:v>14.523246884924312</c:v>
                </c:pt>
                <c:pt idx="12">
                  <c:v>14.4732154183007</c:v>
                </c:pt>
                <c:pt idx="13">
                  <c:v>14.423033040670333</c:v>
                </c:pt>
                <c:pt idx="14">
                  <c:v>14.372701967933441</c:v>
                </c:pt>
                <c:pt idx="15">
                  <c:v>14.322224462276996</c:v>
                </c:pt>
                <c:pt idx="16">
                  <c:v>14.271602831851924</c:v>
                </c:pt>
                <c:pt idx="17">
                  <c:v>14.220839430424595</c:v>
                </c:pt>
                <c:pt idx="18">
                  <c:v>14.169936657002145</c:v>
                </c:pt>
                <c:pt idx="19">
                  <c:v>14.118896955431779</c:v>
                </c:pt>
                <c:pt idx="20">
                  <c:v>14.067722813973877</c:v>
                </c:pt>
                <c:pt idx="21">
                  <c:v>14.016416764849053</c:v>
                </c:pt>
                <c:pt idx="22">
                  <c:v>13.964981383759154</c:v>
                </c:pt>
                <c:pt idx="23">
                  <c:v>13.91341928938229</c:v>
                </c:pt>
                <c:pt idx="24">
                  <c:v>13.861733142841711</c:v>
                </c:pt>
                <c:pt idx="25">
                  <c:v>13.809925647149099</c:v>
                </c:pt>
                <c:pt idx="26">
                  <c:v>13.757999546621964</c:v>
                </c:pt>
                <c:pt idx="27">
                  <c:v>13.705957626275671</c:v>
                </c:pt>
                <c:pt idx="28">
                  <c:v>13.653802711189822</c:v>
                </c:pt>
                <c:pt idx="29">
                  <c:v>13.601537665849719</c:v>
                </c:pt>
                <c:pt idx="30">
                  <c:v>13.549165393462742</c:v>
                </c:pt>
                <c:pt idx="31">
                  <c:v>13.496688835250181</c:v>
                </c:pt>
                <c:pt idx="32">
                  <c:v>13.444110969714446</c:v>
                </c:pt>
                <c:pt idx="33">
                  <c:v>13.391434811882416</c:v>
                </c:pt>
                <c:pt idx="34">
                  <c:v>13.338663412524893</c:v>
                </c:pt>
                <c:pt idx="35">
                  <c:v>13.285799857352815</c:v>
                </c:pt>
                <c:pt idx="36">
                  <c:v>13.232847266190207</c:v>
                </c:pt>
                <c:pt idx="37">
                  <c:v>13.179808792124806</c:v>
                </c:pt>
                <c:pt idx="38">
                  <c:v>13.126687620636334</c:v>
                </c:pt>
                <c:pt idx="39">
                  <c:v>13.0734869687033</c:v>
                </c:pt>
                <c:pt idx="40">
                  <c:v>13.020210083888273</c:v>
                </c:pt>
                <c:pt idx="41">
                  <c:v>12.966860243402717</c:v>
                </c:pt>
                <c:pt idx="42">
                  <c:v>12.913440753151539</c:v>
                </c:pt>
                <c:pt idx="43">
                  <c:v>12.859954946758148</c:v>
                </c:pt>
                <c:pt idx="44">
                  <c:v>12.806406184570262</c:v>
                </c:pt>
                <c:pt idx="45">
                  <c:v>12.752797852647483</c:v>
                </c:pt>
                <c:pt idx="46">
                  <c:v>12.699133361730937</c:v>
                </c:pt>
                <c:pt idx="47">
                  <c:v>12.645416146195959</c:v>
                </c:pt>
                <c:pt idx="48">
                  <c:v>12.591649662987917</c:v>
                </c:pt>
                <c:pt idx="49">
                  <c:v>12.537837390542551</c:v>
                </c:pt>
                <c:pt idx="50">
                  <c:v>12.483982827691005</c:v>
                </c:pt>
                <c:pt idx="51">
                  <c:v>12.430089492550625</c:v>
                </c:pt>
                <c:pt idx="52">
                  <c:v>12.376160921401857</c:v>
                </c:pt>
                <c:pt idx="53">
                  <c:v>12.322200667552471</c:v>
                </c:pt>
                <c:pt idx="54">
                  <c:v>12.268212300189514</c:v>
                </c:pt>
                <c:pt idx="55">
                  <c:v>12.214199403220052</c:v>
                </c:pt>
                <c:pt idx="56">
                  <c:v>12.160165574101086</c:v>
                </c:pt>
                <c:pt idx="57">
                  <c:v>12.106114422660047</c:v>
                </c:pt>
                <c:pt idx="58">
                  <c:v>12.052049569906123</c:v>
                </c:pt>
                <c:pt idx="59">
                  <c:v>11.997974646833695</c:v>
                </c:pt>
                <c:pt idx="60">
                  <c:v>11.943893293218327</c:v>
                </c:pt>
                <c:pt idx="61">
                  <c:v>11.889809156406509</c:v>
                </c:pt>
                <c:pt idx="62">
                  <c:v>11.835725890099802</c:v>
                </c:pt>
                <c:pt idx="63">
                  <c:v>11.781647153134426</c:v>
                </c:pt>
                <c:pt idx="64">
                  <c:v>11.727576608256838</c:v>
                </c:pt>
                <c:pt idx="65">
                  <c:v>11.673517920896607</c:v>
                </c:pt>
                <c:pt idx="66">
                  <c:v>11.619474757937127</c:v>
                </c:pt>
                <c:pt idx="67">
                  <c:v>11.565450786485366</c:v>
                </c:pt>
                <c:pt idx="68">
                  <c:v>11.511449672640994</c:v>
                </c:pt>
                <c:pt idx="69">
                  <c:v>11.45747508026653</c:v>
                </c:pt>
                <c:pt idx="70">
                  <c:v>11.4035306697587</c:v>
                </c:pt>
                <c:pt idx="71">
                  <c:v>11.349620096822452</c:v>
                </c:pt>
                <c:pt idx="72">
                  <c:v>11.295747011247895</c:v>
                </c:pt>
                <c:pt idx="73">
                  <c:v>11.24191505569172</c:v>
                </c:pt>
                <c:pt idx="74">
                  <c:v>11.188127864463393</c:v>
                </c:pt>
                <c:pt idx="75">
                  <c:v>11.134389062317483</c:v>
                </c:pt>
                <c:pt idx="76">
                  <c:v>11.08070226325237</c:v>
                </c:pt>
                <c:pt idx="77">
                  <c:v>11.027071069316881</c:v>
                </c:pt>
                <c:pt idx="78">
                  <c:v>10.973499069425142</c:v>
                </c:pt>
                <c:pt idx="79">
                  <c:v>10.919989838180872</c:v>
                </c:pt>
                <c:pt idx="80">
                  <c:v>10.866546934711479</c:v>
                </c:pt>
                <c:pt idx="81">
                  <c:v>10.813173901513307</c:v>
                </c:pt>
                <c:pt idx="82">
                  <c:v>10.759874263308392</c:v>
                </c:pt>
                <c:pt idx="83">
                  <c:v>10.7066515259138</c:v>
                </c:pt>
                <c:pt idx="84">
                  <c:v>10.653509175124</c:v>
                </c:pt>
                <c:pt idx="85">
                  <c:v>10.600450675607391</c:v>
                </c:pt>
                <c:pt idx="86">
                  <c:v>10.54747946981734</c:v>
                </c:pt>
                <c:pt idx="87">
                  <c:v>10.494598976918899</c:v>
                </c:pt>
                <c:pt idx="88">
                  <c:v>10.441812591731265</c:v>
                </c:pt>
                <c:pt idx="89">
                  <c:v>10.3891236836873</c:v>
                </c:pt>
                <c:pt idx="90">
                  <c:v>10.336535595810366</c:v>
                </c:pt>
                <c:pt idx="91">
                  <c:v>10.284051643709331</c:v>
                </c:pt>
                <c:pt idx="92">
                  <c:v>10.231675114592067</c:v>
                </c:pt>
                <c:pt idx="93">
                  <c:v>10.179409266298421</c:v>
                </c:pt>
                <c:pt idx="94">
                  <c:v>10.127257326352938</c:v>
                </c:pt>
                <c:pt idx="95">
                  <c:v>10.07522249103808</c:v>
                </c:pt>
                <c:pt idx="96">
                  <c:v>10.02330792448816</c:v>
                </c:pt>
                <c:pt idx="97">
                  <c:v>9.9715167578049204</c:v>
                </c:pt>
                <c:pt idx="98">
                  <c:v>9.9198520881948919</c:v>
                </c:pt>
                <c:pt idx="99">
                  <c:v>9.8683169781291991</c:v>
                </c:pt>
              </c:numCache>
            </c:numRef>
          </c:yVal>
          <c:smooth val="0"/>
          <c:extLst>
            <c:ext xmlns:c16="http://schemas.microsoft.com/office/drawing/2014/chart" uri="{C3380CC4-5D6E-409C-BE32-E72D297353CC}">
              <c16:uniqueId val="{00000000-6FE2-4DE9-AB14-F9A2274797AD}"/>
            </c:ext>
          </c:extLst>
        </c:ser>
        <c:dLbls>
          <c:showLegendKey val="0"/>
          <c:showVal val="0"/>
          <c:showCatName val="0"/>
          <c:showSerName val="0"/>
          <c:showPercent val="0"/>
          <c:showBubbleSize val="0"/>
        </c:dLbls>
        <c:axId val="1494532575"/>
        <c:axId val="1634106031"/>
      </c:scatterChart>
      <c:valAx>
        <c:axId val="14945325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Yield to maturity</a:t>
                </a:r>
                <a:endParaRPr lang="ko-KR"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634106031"/>
        <c:crosses val="autoZero"/>
        <c:crossBetween val="midCat"/>
      </c:valAx>
      <c:valAx>
        <c:axId val="1634106031"/>
        <c:scaling>
          <c:orientation val="minMax"/>
          <c:min val="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Modified duration (years)</a:t>
                </a:r>
                <a:endParaRPr lang="ko-KR"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94532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Modified Duration vs.</a:t>
            </a:r>
            <a:r>
              <a:rPr lang="en-US" altLang="ko-KR" baseline="0"/>
              <a:t> Remaining Life</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12602182048504479"/>
          <c:y val="0.15008596496147189"/>
          <c:w val="0.83001650236662838"/>
          <c:h val="0.70260679664857728"/>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'Model 5'!$D$25:$D$85</c:f>
              <c:numCache>
                <c:formatCode>0.0</c:formatCode>
                <c:ptCount val="61"/>
                <c:pt idx="0">
                  <c:v>30</c:v>
                </c:pt>
                <c:pt idx="1">
                  <c:v>29.5</c:v>
                </c:pt>
                <c:pt idx="2">
                  <c:v>29</c:v>
                </c:pt>
                <c:pt idx="3">
                  <c:v>28.5</c:v>
                </c:pt>
                <c:pt idx="4">
                  <c:v>28</c:v>
                </c:pt>
                <c:pt idx="5">
                  <c:v>27.5</c:v>
                </c:pt>
                <c:pt idx="6">
                  <c:v>27</c:v>
                </c:pt>
                <c:pt idx="7">
                  <c:v>26.5</c:v>
                </c:pt>
                <c:pt idx="8">
                  <c:v>26</c:v>
                </c:pt>
                <c:pt idx="9">
                  <c:v>25.5</c:v>
                </c:pt>
                <c:pt idx="10">
                  <c:v>25</c:v>
                </c:pt>
                <c:pt idx="11">
                  <c:v>24.5</c:v>
                </c:pt>
                <c:pt idx="12">
                  <c:v>24</c:v>
                </c:pt>
                <c:pt idx="13">
                  <c:v>23.5</c:v>
                </c:pt>
                <c:pt idx="14">
                  <c:v>23</c:v>
                </c:pt>
                <c:pt idx="15">
                  <c:v>22.5</c:v>
                </c:pt>
                <c:pt idx="16">
                  <c:v>22</c:v>
                </c:pt>
                <c:pt idx="17">
                  <c:v>21.5</c:v>
                </c:pt>
                <c:pt idx="18">
                  <c:v>21</c:v>
                </c:pt>
                <c:pt idx="19">
                  <c:v>20.5</c:v>
                </c:pt>
                <c:pt idx="20">
                  <c:v>20</c:v>
                </c:pt>
                <c:pt idx="21">
                  <c:v>19.5</c:v>
                </c:pt>
                <c:pt idx="22">
                  <c:v>19</c:v>
                </c:pt>
                <c:pt idx="23">
                  <c:v>18.5</c:v>
                </c:pt>
                <c:pt idx="24">
                  <c:v>18</c:v>
                </c:pt>
                <c:pt idx="25">
                  <c:v>17.5</c:v>
                </c:pt>
                <c:pt idx="26">
                  <c:v>17</c:v>
                </c:pt>
                <c:pt idx="27">
                  <c:v>16.5</c:v>
                </c:pt>
                <c:pt idx="28">
                  <c:v>16</c:v>
                </c:pt>
                <c:pt idx="29">
                  <c:v>15.5</c:v>
                </c:pt>
                <c:pt idx="30">
                  <c:v>15</c:v>
                </c:pt>
                <c:pt idx="31">
                  <c:v>14.5</c:v>
                </c:pt>
                <c:pt idx="32">
                  <c:v>14</c:v>
                </c:pt>
                <c:pt idx="33">
                  <c:v>13.5</c:v>
                </c:pt>
                <c:pt idx="34">
                  <c:v>13</c:v>
                </c:pt>
                <c:pt idx="35">
                  <c:v>12.5</c:v>
                </c:pt>
                <c:pt idx="36">
                  <c:v>12</c:v>
                </c:pt>
                <c:pt idx="37">
                  <c:v>11.5</c:v>
                </c:pt>
                <c:pt idx="38">
                  <c:v>11</c:v>
                </c:pt>
                <c:pt idx="39">
                  <c:v>10.5</c:v>
                </c:pt>
                <c:pt idx="40">
                  <c:v>10</c:v>
                </c:pt>
                <c:pt idx="41">
                  <c:v>9.5</c:v>
                </c:pt>
                <c:pt idx="42">
                  <c:v>9</c:v>
                </c:pt>
                <c:pt idx="43">
                  <c:v>8.5</c:v>
                </c:pt>
                <c:pt idx="44">
                  <c:v>8</c:v>
                </c:pt>
                <c:pt idx="45">
                  <c:v>7.5</c:v>
                </c:pt>
                <c:pt idx="46">
                  <c:v>7</c:v>
                </c:pt>
                <c:pt idx="47">
                  <c:v>6.5</c:v>
                </c:pt>
                <c:pt idx="48">
                  <c:v>6</c:v>
                </c:pt>
                <c:pt idx="49">
                  <c:v>5.5</c:v>
                </c:pt>
                <c:pt idx="50">
                  <c:v>5</c:v>
                </c:pt>
                <c:pt idx="51">
                  <c:v>4.5</c:v>
                </c:pt>
                <c:pt idx="52">
                  <c:v>4</c:v>
                </c:pt>
                <c:pt idx="53">
                  <c:v>3.5</c:v>
                </c:pt>
                <c:pt idx="54">
                  <c:v>3</c:v>
                </c:pt>
                <c:pt idx="55">
                  <c:v>2.5</c:v>
                </c:pt>
                <c:pt idx="56">
                  <c:v>2</c:v>
                </c:pt>
                <c:pt idx="57">
                  <c:v>1.5</c:v>
                </c:pt>
                <c:pt idx="58">
                  <c:v>1</c:v>
                </c:pt>
                <c:pt idx="59">
                  <c:v>0.5</c:v>
                </c:pt>
                <c:pt idx="60">
                  <c:v>0</c:v>
                </c:pt>
              </c:numCache>
            </c:numRef>
          </c:xVal>
          <c:yVal>
            <c:numRef>
              <c:f>'Model 5'!$C$25:$C$85</c:f>
              <c:numCache>
                <c:formatCode>0.00</c:formatCode>
                <c:ptCount val="61"/>
                <c:pt idx="0">
                  <c:v>16.056196261220578</c:v>
                </c:pt>
                <c:pt idx="1">
                  <c:v>15.968369861623309</c:v>
                </c:pt>
                <c:pt idx="2">
                  <c:v>15.876543562638608</c:v>
                </c:pt>
                <c:pt idx="3">
                  <c:v>15.780599822582571</c:v>
                </c:pt>
                <c:pt idx="4">
                  <c:v>15.680419843457139</c:v>
                </c:pt>
                <c:pt idx="5">
                  <c:v>15.575883679841505</c:v>
                </c:pt>
                <c:pt idx="6">
                  <c:v>15.466870355538727</c:v>
                </c:pt>
                <c:pt idx="7">
                  <c:v>15.353257988067913</c:v>
                </c:pt>
                <c:pt idx="8">
                  <c:v>15.234923921066832</c:v>
                </c:pt>
                <c:pt idx="9">
                  <c:v>15.111744864641935</c:v>
                </c:pt>
                <c:pt idx="10">
                  <c:v>14.98359704367291</c:v>
                </c:pt>
                <c:pt idx="11">
                  <c:v>14.850356354046637</c:v>
                </c:pt>
                <c:pt idx="12">
                  <c:v>14.711898526761349</c:v>
                </c:pt>
                <c:pt idx="13">
                  <c:v>14.56809929980545</c:v>
                </c:pt>
                <c:pt idx="14">
                  <c:v>14.418834597677304</c:v>
                </c:pt>
                <c:pt idx="15">
                  <c:v>14.263980718372274</c:v>
                </c:pt>
                <c:pt idx="16">
                  <c:v>14.103414527621561</c:v>
                </c:pt>
                <c:pt idx="17">
                  <c:v>13.937013660124126</c:v>
                </c:pt>
                <c:pt idx="18">
                  <c:v>13.764656727468399</c:v>
                </c:pt>
                <c:pt idx="19">
                  <c:v>13.586223532394715</c:v>
                </c:pt>
                <c:pt idx="20">
                  <c:v>13.401595289002772</c:v>
                </c:pt>
                <c:pt idx="21">
                  <c:v>13.210654848461191</c:v>
                </c:pt>
                <c:pt idx="22">
                  <c:v>13.013286929728569</c:v>
                </c:pt>
                <c:pt idx="23">
                  <c:v>12.809378354747912</c:v>
                </c:pt>
                <c:pt idx="24">
                  <c:v>12.598818287528903</c:v>
                </c:pt>
                <c:pt idx="25">
                  <c:v>12.381498476485948</c:v>
                </c:pt>
                <c:pt idx="26">
                  <c:v>12.157313499354295</c:v>
                </c:pt>
                <c:pt idx="27">
                  <c:v>11.926161009962447</c:v>
                </c:pt>
                <c:pt idx="28">
                  <c:v>11.687941986096835</c:v>
                </c:pt>
                <c:pt idx="29">
                  <c:v>11.442560977654752</c:v>
                </c:pt>
                <c:pt idx="30">
                  <c:v>11.189926354244264</c:v>
                </c:pt>
                <c:pt idx="31">
                  <c:v>10.929950551355759</c:v>
                </c:pt>
                <c:pt idx="32">
                  <c:v>10.662550314199152</c:v>
                </c:pt>
                <c:pt idx="33">
                  <c:v>10.387646938274287</c:v>
                </c:pt>
                <c:pt idx="34">
                  <c:v>10.105166505719806</c:v>
                </c:pt>
                <c:pt idx="35">
                  <c:v>9.8150401164683974</c:v>
                </c:pt>
                <c:pt idx="36">
                  <c:v>9.517204113224043</c:v>
                </c:pt>
                <c:pt idx="37">
                  <c:v>9.2116002992701098</c:v>
                </c:pt>
                <c:pt idx="38">
                  <c:v>8.8981761481161215</c:v>
                </c:pt>
                <c:pt idx="39">
                  <c:v>8.5768850039960505</c:v>
                </c:pt>
                <c:pt idx="40">
                  <c:v>8.2476862722423281</c:v>
                </c:pt>
                <c:pt idx="41">
                  <c:v>7.9105455985774631</c:v>
                </c:pt>
                <c:pt idx="42">
                  <c:v>7.5654350363894745</c:v>
                </c:pt>
                <c:pt idx="43">
                  <c:v>7.2123332010882359</c:v>
                </c:pt>
                <c:pt idx="44">
                  <c:v>6.8512254106773742</c:v>
                </c:pt>
                <c:pt idx="45">
                  <c:v>6.4821038117203713</c:v>
                </c:pt>
                <c:pt idx="46">
                  <c:v>6.1049674899301065</c:v>
                </c:pt>
                <c:pt idx="47">
                  <c:v>5.7198225646677061</c:v>
                </c:pt>
                <c:pt idx="48">
                  <c:v>5.3266822666992732</c:v>
                </c:pt>
                <c:pt idx="49">
                  <c:v>4.9255669986274624</c:v>
                </c:pt>
                <c:pt idx="50">
                  <c:v>4.5165043774882756</c:v>
                </c:pt>
                <c:pt idx="51">
                  <c:v>4.0995292590820549</c:v>
                </c:pt>
                <c:pt idx="52">
                  <c:v>3.6746837436900308</c:v>
                </c:pt>
                <c:pt idx="53">
                  <c:v>3.2420171629143928</c:v>
                </c:pt>
                <c:pt idx="54">
                  <c:v>2.8015860474691547</c:v>
                </c:pt>
                <c:pt idx="55">
                  <c:v>2.3534540758411286</c:v>
                </c:pt>
                <c:pt idx="56">
                  <c:v>1.8976920038339138</c:v>
                </c:pt>
                <c:pt idx="57">
                  <c:v>1.4343775751025576</c:v>
                </c:pt>
                <c:pt idx="58">
                  <c:v>0.96359541288163586</c:v>
                </c:pt>
                <c:pt idx="59">
                  <c:v>0.48543689320388006</c:v>
                </c:pt>
                <c:pt idx="60">
                  <c:v>0</c:v>
                </c:pt>
              </c:numCache>
            </c:numRef>
          </c:yVal>
          <c:smooth val="0"/>
          <c:extLst>
            <c:ext xmlns:c16="http://schemas.microsoft.com/office/drawing/2014/chart" uri="{C3380CC4-5D6E-409C-BE32-E72D297353CC}">
              <c16:uniqueId val="{00000000-EC38-43AB-9E38-BF2E10DCFADC}"/>
            </c:ext>
          </c:extLst>
        </c:ser>
        <c:dLbls>
          <c:showLegendKey val="0"/>
          <c:showVal val="0"/>
          <c:showCatName val="0"/>
          <c:showSerName val="0"/>
          <c:showPercent val="0"/>
          <c:showBubbleSize val="0"/>
        </c:dLbls>
        <c:axId val="860493535"/>
        <c:axId val="865301439"/>
      </c:scatterChart>
      <c:valAx>
        <c:axId val="860493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Remaining</a:t>
                </a:r>
                <a:r>
                  <a:rPr lang="en-US" altLang="ko-KR" baseline="0"/>
                  <a:t> life (years)</a:t>
                </a:r>
                <a:endParaRPr lang="en-US" altLang="ko-K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865301439"/>
        <c:crosses val="autoZero"/>
        <c:crossBetween val="midCat"/>
      </c:valAx>
      <c:valAx>
        <c:axId val="8653014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Modified duration (years)</a:t>
                </a:r>
                <a:endParaRPr lang="ko-KR"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8604935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D$4" max="200" page="10" val="42"/>
</file>

<file path=xl/ctrlProps/ctrlProp2.xml><?xml version="1.0" encoding="utf-8"?>
<formControlPr xmlns="http://schemas.microsoft.com/office/spreadsheetml/2009/9/main" objectType="Spin" dx="22" fmlaLink="$D$5" max="200" page="10" val="46"/>
</file>

<file path=xl/ctrlProps/ctrlProp3.xml><?xml version="1.0" encoding="utf-8"?>
<formControlPr xmlns="http://schemas.microsoft.com/office/spreadsheetml/2009/9/main" objectType="Spin" dx="22" fmlaLink="$D$3" max="200" page="10" val="50"/>
</file>

<file path=xl/ctrlProps/ctrlProp4.xml><?xml version="1.0" encoding="utf-8"?>
<formControlPr xmlns="http://schemas.microsoft.com/office/spreadsheetml/2009/9/main" objectType="Spin" dx="22" fmlaLink="$D$4" max="200" page="10" val="70"/>
</file>

<file path=xl/ctrlProps/ctrlProp5.xml><?xml version="1.0" encoding="utf-8"?>
<formControlPr xmlns="http://schemas.microsoft.com/office/spreadsheetml/2009/9/main" objectType="Spin" dx="22" fmlaLink="$D$3" max="200" page="10" val="30"/>
</file>

<file path=xl/ctrlProps/ctrlProp6.xml><?xml version="1.0" encoding="utf-8"?>
<formControlPr xmlns="http://schemas.microsoft.com/office/spreadsheetml/2009/9/main" objectType="Spin" dx="22" fmlaLink="$D$4" max="200" page="10" val="6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4762</xdr:colOff>
      <xdr:row>2</xdr:row>
      <xdr:rowOff>0</xdr:rowOff>
    </xdr:from>
    <xdr:to>
      <xdr:col>11</xdr:col>
      <xdr:colOff>461962</xdr:colOff>
      <xdr:row>17</xdr:row>
      <xdr:rowOff>0</xdr:rowOff>
    </xdr:to>
    <xdr:graphicFrame macro="">
      <xdr:nvGraphicFramePr>
        <xdr:cNvPr id="2" name="차트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2056" name="Spinner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0</xdr:rowOff>
        </xdr:from>
        <xdr:to>
          <xdr:col>3</xdr:col>
          <xdr:colOff>0</xdr:colOff>
          <xdr:row>5</xdr:row>
          <xdr:rowOff>0</xdr:rowOff>
        </xdr:to>
        <xdr:sp macro="" textlink="">
          <xdr:nvSpPr>
            <xdr:cNvPr id="2057" name="Spinner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0</xdr:colOff>
      <xdr:row>3</xdr:row>
      <xdr:rowOff>4762</xdr:rowOff>
    </xdr:from>
    <xdr:to>
      <xdr:col>11</xdr:col>
      <xdr:colOff>457200</xdr:colOff>
      <xdr:row>16</xdr:row>
      <xdr:rowOff>0</xdr:rowOff>
    </xdr:to>
    <xdr:graphicFrame macro="">
      <xdr:nvGraphicFramePr>
        <xdr:cNvPr id="2" name="차트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4762</xdr:colOff>
      <xdr:row>3</xdr:row>
      <xdr:rowOff>4762</xdr:rowOff>
    </xdr:from>
    <xdr:to>
      <xdr:col>8</xdr:col>
      <xdr:colOff>0</xdr:colOff>
      <xdr:row>16</xdr:row>
      <xdr:rowOff>0</xdr:rowOff>
    </xdr:to>
    <xdr:graphicFrame macro="">
      <xdr:nvGraphicFramePr>
        <xdr:cNvPr id="2" name="차트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3</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4761</xdr:colOff>
      <xdr:row>2</xdr:row>
      <xdr:rowOff>4762</xdr:rowOff>
    </xdr:from>
    <xdr:to>
      <xdr:col>10</xdr:col>
      <xdr:colOff>685799</xdr:colOff>
      <xdr:row>17</xdr:row>
      <xdr:rowOff>0</xdr:rowOff>
    </xdr:to>
    <xdr:graphicFrame macro="">
      <xdr:nvGraphicFramePr>
        <xdr:cNvPr id="2" name="차트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4102" name="Spinner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3</xdr:row>
          <xdr:rowOff>0</xdr:rowOff>
        </xdr:to>
        <xdr:sp macro="" textlink="">
          <xdr:nvSpPr>
            <xdr:cNvPr id="6146" name="Spinner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6147" name="Spinner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4762</xdr:colOff>
      <xdr:row>2</xdr:row>
      <xdr:rowOff>4763</xdr:rowOff>
    </xdr:from>
    <xdr:to>
      <xdr:col>13</xdr:col>
      <xdr:colOff>0</xdr:colOff>
      <xdr:row>17</xdr:row>
      <xdr:rowOff>1</xdr:rowOff>
    </xdr:to>
    <xdr:graphicFrame macro="">
      <xdr:nvGraphicFramePr>
        <xdr:cNvPr id="2" name="차트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4</xdr:col>
          <xdr:colOff>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수익률 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0</xdr:rowOff>
        </xdr:from>
        <xdr:to>
          <xdr:col>4</xdr:col>
          <xdr:colOff>0</xdr:colOff>
          <xdr:row>7</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듀레이션 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0</xdr:rowOff>
        </xdr:from>
        <xdr:to>
          <xdr:col>4</xdr:col>
          <xdr:colOff>0</xdr:colOff>
          <xdr:row>1</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채권</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KR6017811995" connectionId="1" xr16:uid="{C24534DC-4853-4268-AE12-FC740111F419}" autoFormatId="16" applyNumberFormats="0" applyBorderFormats="0" applyFontFormats="1" applyPatternFormats="1" applyAlignmentFormats="0" applyWidthHeightFormats="0"/>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1BDF5-D928-4193-A945-47A5C7623397}">
  <sheetPr codeName="Sheet11"/>
  <dimension ref="A1:D21"/>
  <sheetViews>
    <sheetView workbookViewId="0">
      <selection activeCell="N13" sqref="N13"/>
    </sheetView>
  </sheetViews>
  <sheetFormatPr defaultRowHeight="16.5" x14ac:dyDescent="0.3"/>
  <cols>
    <col min="1" max="2" width="16.5" bestFit="1" customWidth="1"/>
    <col min="3" max="3" width="28.625" bestFit="1" customWidth="1"/>
    <col min="4" max="4" width="12.875" bestFit="1" customWidth="1"/>
  </cols>
  <sheetData>
    <row r="1" spans="1:4" x14ac:dyDescent="0.3"/>
    <row r="3" spans="1:4" x14ac:dyDescent="0.3">
      <c r="A3" s="1" t="s">
        <v>48</v>
      </c>
      <c r="B3" s="1" t="s">
        <v>0</v>
      </c>
      <c r="C3" s="1" t="s">
        <v>63</v>
      </c>
      <c r="D3" s="2" t="s">
        <v>1</v>
      </c>
    </row>
    <row r="4" spans="1:4" x14ac:dyDescent="0.3">
      <c r="A4" s="7" t="s">
        <v>2</v>
      </c>
      <c r="B4" s="12">
        <v>0.08</v>
      </c>
      <c r="C4" s="13">
        <v>0.03</v>
      </c>
      <c r="D4" s="3">
        <f>((1+C4)^B4/(1+0)^0)^(1/(B4-0))-1</f>
        <v>3.0000000000000471E-2</v>
      </c>
    </row>
    <row r="5" spans="1:4" x14ac:dyDescent="0.3">
      <c r="A5" s="7" t="s">
        <v>3</v>
      </c>
      <c r="B5" s="12">
        <v>0.25</v>
      </c>
      <c r="C5" s="13">
        <v>3.1E-2</v>
      </c>
      <c r="D5" s="3">
        <f>((1+C5)^B5/(1+C4)^B4)^(1/(B5-B4))-1</f>
        <v>3.1470924120243993E-2</v>
      </c>
    </row>
    <row r="6" spans="1:4" x14ac:dyDescent="0.3">
      <c r="A6" s="7" t="s">
        <v>4</v>
      </c>
      <c r="B6" s="12">
        <v>0.5</v>
      </c>
      <c r="C6" s="13">
        <v>3.2000000000000001E-2</v>
      </c>
      <c r="D6" s="3">
        <f t="shared" ref="D6:D7" si="0">((1+C6)^B6/(1+C5)^B5)^(1/(B6-B5))-1</f>
        <v>3.3000969932105439E-2</v>
      </c>
    </row>
    <row r="7" spans="1:4" x14ac:dyDescent="0.3">
      <c r="A7" s="7" t="s">
        <v>5</v>
      </c>
      <c r="B7" s="12">
        <v>1</v>
      </c>
      <c r="C7" s="13">
        <v>3.5000000000000003E-2</v>
      </c>
      <c r="D7" s="3">
        <f t="shared" si="0"/>
        <v>3.8008720930232442E-2</v>
      </c>
    </row>
    <row r="8" spans="1:4" x14ac:dyDescent="0.3">
      <c r="A8" s="7" t="s">
        <v>6</v>
      </c>
      <c r="B8" s="12">
        <v>2</v>
      </c>
      <c r="C8" s="13">
        <v>4.4999999999999998E-2</v>
      </c>
      <c r="D8" s="3">
        <f>((1+C8)^B8/(1+C7)^B7)^(1/(B8-B7))-1</f>
        <v>5.5096618357487914E-2</v>
      </c>
    </row>
    <row r="9" spans="1:4" x14ac:dyDescent="0.3">
      <c r="A9" s="7" t="s">
        <v>7</v>
      </c>
      <c r="B9" s="12">
        <v>3</v>
      </c>
      <c r="C9" s="13">
        <v>5.0999999999999997E-2</v>
      </c>
      <c r="D9" s="3">
        <f>((1+C9)^B9/(1+C8)^B8)^(1/(B9-B8))-1</f>
        <v>6.3103547079966349E-2</v>
      </c>
    </row>
    <row r="10" spans="1:4" x14ac:dyDescent="0.3">
      <c r="A10" s="7" t="s">
        <v>8</v>
      </c>
      <c r="B10" s="12">
        <v>4</v>
      </c>
      <c r="C10" s="13">
        <v>5.7000000000000002E-2</v>
      </c>
      <c r="D10" s="3">
        <f t="shared" ref="D10:D16" si="1">((1+C10)^B10/(1+C9)^B9)^(1/(B10-B9))-1</f>
        <v>7.5206301852986934E-2</v>
      </c>
    </row>
    <row r="11" spans="1:4" x14ac:dyDescent="0.3">
      <c r="A11" s="7" t="s">
        <v>9</v>
      </c>
      <c r="B11" s="12">
        <v>5</v>
      </c>
      <c r="C11" s="13">
        <v>6.0999999999999999E-2</v>
      </c>
      <c r="D11" s="3">
        <f t="shared" si="1"/>
        <v>7.7151945727309545E-2</v>
      </c>
    </row>
    <row r="12" spans="1:4" x14ac:dyDescent="0.3">
      <c r="A12" s="7" t="s">
        <v>10</v>
      </c>
      <c r="B12" s="12">
        <v>10</v>
      </c>
      <c r="C12" s="13">
        <v>7.2999999999999995E-2</v>
      </c>
      <c r="D12" s="3">
        <f t="shared" si="1"/>
        <v>8.5135721017907562E-2</v>
      </c>
    </row>
    <row r="13" spans="1:4" x14ac:dyDescent="0.3">
      <c r="A13" s="7" t="s">
        <v>11</v>
      </c>
      <c r="B13" s="12">
        <v>15</v>
      </c>
      <c r="C13" s="13">
        <v>7.9000000000000001E-2</v>
      </c>
      <c r="D13" s="3">
        <f t="shared" si="1"/>
        <v>9.1100839985790438E-2</v>
      </c>
    </row>
    <row r="14" spans="1:4" x14ac:dyDescent="0.3">
      <c r="A14" s="7" t="s">
        <v>12</v>
      </c>
      <c r="B14" s="12">
        <v>20</v>
      </c>
      <c r="C14" s="13">
        <v>8.2000000000000003E-2</v>
      </c>
      <c r="D14" s="3">
        <f t="shared" si="1"/>
        <v>9.1050139167981436E-2</v>
      </c>
    </row>
    <row r="15" spans="1:4" x14ac:dyDescent="0.3">
      <c r="A15" s="7" t="s">
        <v>13</v>
      </c>
      <c r="B15" s="12">
        <v>25</v>
      </c>
      <c r="C15" s="13">
        <v>8.3000000000000004E-2</v>
      </c>
      <c r="D15" s="3">
        <f t="shared" si="1"/>
        <v>8.7009250689847883E-2</v>
      </c>
    </row>
    <row r="16" spans="1:4" x14ac:dyDescent="0.3">
      <c r="A16" s="7" t="s">
        <v>14</v>
      </c>
      <c r="B16" s="12">
        <v>30</v>
      </c>
      <c r="C16" s="13">
        <v>7.9000000000000001E-2</v>
      </c>
      <c r="D16" s="3">
        <f t="shared" si="1"/>
        <v>5.9220518344422324E-2</v>
      </c>
    </row>
    <row r="21" spans="1:1" x14ac:dyDescent="0.3"/>
  </sheetData>
  <phoneticPr fontId="2" type="noConversion"/>
  <pageMargins left="0.7" right="0.7" top="0.75" bottom="0.75" header="0.3" footer="0.3"/>
  <pageSetup paperSize="9" orientation="portrait" verticalDpi="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7A16B-701A-4336-8CD0-03D446844104}">
  <sheetPr codeName="Sheet1"/>
  <dimension ref="A1:D86"/>
  <sheetViews>
    <sheetView workbookViewId="0">
      <selection activeCell="C14" sqref="C14"/>
    </sheetView>
  </sheetViews>
  <sheetFormatPr defaultRowHeight="16.5" x14ac:dyDescent="0.3"/>
  <cols>
    <col min="1" max="1" width="49.625" bestFit="1" customWidth="1"/>
    <col min="2" max="2" width="19.875" bestFit="1" customWidth="1"/>
    <col min="3" max="3" width="7.5" bestFit="1" customWidth="1"/>
    <col min="4" max="4" width="19.25" bestFit="1" customWidth="1"/>
  </cols>
  <sheetData>
    <row r="1" spans="1:4" x14ac:dyDescent="0.3"/>
    <row r="4" spans="1:4" x14ac:dyDescent="0.3">
      <c r="A4" s="2" t="s">
        <v>50</v>
      </c>
      <c r="B4" s="10">
        <f>D4*0.001</f>
        <v>4.2000000000000003E-2</v>
      </c>
      <c r="D4" s="7">
        <v>42</v>
      </c>
    </row>
    <row r="5" spans="1:4" x14ac:dyDescent="0.3">
      <c r="A5" s="2" t="s">
        <v>49</v>
      </c>
      <c r="B5" s="10">
        <f>D5*0.001</f>
        <v>4.5999999999999999E-2</v>
      </c>
      <c r="D5" s="7">
        <v>46</v>
      </c>
    </row>
    <row r="6" spans="1:4" x14ac:dyDescent="0.3">
      <c r="A6" s="1" t="s">
        <v>64</v>
      </c>
      <c r="B6" s="5">
        <v>20</v>
      </c>
    </row>
    <row r="7" spans="1:4" x14ac:dyDescent="0.3">
      <c r="A7" s="1" t="s">
        <v>51</v>
      </c>
      <c r="B7" s="5">
        <v>2</v>
      </c>
    </row>
    <row r="8" spans="1:4" x14ac:dyDescent="0.3">
      <c r="A8" s="1" t="s">
        <v>58</v>
      </c>
      <c r="B8" s="6">
        <v>1000</v>
      </c>
    </row>
    <row r="9" spans="1:4" x14ac:dyDescent="0.3">
      <c r="B9" s="4"/>
    </row>
    <row r="10" spans="1:4" x14ac:dyDescent="0.3">
      <c r="A10" s="2" t="s">
        <v>65</v>
      </c>
      <c r="B10" s="10">
        <f>y/f</f>
        <v>2.3E-2</v>
      </c>
    </row>
    <row r="11" spans="1:4" x14ac:dyDescent="0.3">
      <c r="A11" s="2" t="s">
        <v>66</v>
      </c>
      <c r="B11" s="11">
        <f>Face*CR/f</f>
        <v>21</v>
      </c>
    </row>
    <row r="12" spans="1:4" x14ac:dyDescent="0.3">
      <c r="A12" s="2" t="s">
        <v>15</v>
      </c>
      <c r="B12" s="9">
        <f>Cpns/f</f>
        <v>10</v>
      </c>
    </row>
    <row r="13" spans="1:4" x14ac:dyDescent="0.3">
      <c r="B13" s="4"/>
    </row>
    <row r="14" spans="1:4" x14ac:dyDescent="0.3">
      <c r="A14" s="2" t="s">
        <v>61</v>
      </c>
      <c r="B14" s="8">
        <f>IF(CR=B5,Face,PV(Disc,Cpns,-cPmt,-Face))</f>
        <v>968.22446794699329</v>
      </c>
    </row>
    <row r="18" spans="1:4" x14ac:dyDescent="0.3"/>
    <row r="24" spans="1:4" x14ac:dyDescent="0.3">
      <c r="B24" s="48" t="s">
        <v>16</v>
      </c>
      <c r="C24" s="2" t="s">
        <v>17</v>
      </c>
      <c r="D24" s="50" t="s">
        <v>18</v>
      </c>
    </row>
    <row r="25" spans="1:4" ht="17.25" thickBot="1" x14ac:dyDescent="0.35">
      <c r="B25" s="49"/>
      <c r="C25" s="14">
        <f>B14</f>
        <v>968.22446794699329</v>
      </c>
      <c r="D25" s="48"/>
    </row>
    <row r="26" spans="1:4" x14ac:dyDescent="0.3">
      <c r="B26" s="18">
        <v>60</v>
      </c>
      <c r="C26" s="17">
        <f t="dataTable" ref="C26:C86" dt2D="0" dtr="0" r1="B6"/>
        <v>935.26450576480306</v>
      </c>
      <c r="D26" s="15">
        <f t="shared" ref="D26:D57" si="0">B26/f</f>
        <v>30</v>
      </c>
    </row>
    <row r="27" spans="1:4" x14ac:dyDescent="0.3">
      <c r="B27" s="15">
        <f>B26-1</f>
        <v>59</v>
      </c>
      <c r="C27" s="16">
        <v>935.77558939739345</v>
      </c>
      <c r="D27" s="15">
        <f t="shared" si="0"/>
        <v>29.5</v>
      </c>
    </row>
    <row r="28" spans="1:4" x14ac:dyDescent="0.3">
      <c r="B28" s="15">
        <f t="shared" ref="B28:B86" si="1">B27-1</f>
        <v>58</v>
      </c>
      <c r="C28" s="16">
        <v>936.29842795353352</v>
      </c>
      <c r="D28" s="15">
        <f t="shared" si="0"/>
        <v>29</v>
      </c>
    </row>
    <row r="29" spans="1:4" x14ac:dyDescent="0.3">
      <c r="B29" s="15">
        <f t="shared" si="1"/>
        <v>57</v>
      </c>
      <c r="C29" s="16">
        <v>936.83329179646466</v>
      </c>
      <c r="D29" s="15">
        <f t="shared" si="0"/>
        <v>28.5</v>
      </c>
    </row>
    <row r="30" spans="1:4" x14ac:dyDescent="0.3">
      <c r="B30" s="15">
        <f t="shared" si="1"/>
        <v>56</v>
      </c>
      <c r="C30" s="16">
        <v>937.38045750778349</v>
      </c>
      <c r="D30" s="15">
        <f t="shared" si="0"/>
        <v>28</v>
      </c>
    </row>
    <row r="31" spans="1:4" x14ac:dyDescent="0.3">
      <c r="B31" s="15">
        <f t="shared" si="1"/>
        <v>55</v>
      </c>
      <c r="C31" s="16">
        <v>937.94020803046249</v>
      </c>
      <c r="D31" s="15">
        <f t="shared" si="0"/>
        <v>27.5</v>
      </c>
    </row>
    <row r="32" spans="1:4" x14ac:dyDescent="0.3">
      <c r="B32" s="15">
        <f t="shared" si="1"/>
        <v>54</v>
      </c>
      <c r="C32" s="16">
        <v>938.51283281516294</v>
      </c>
      <c r="D32" s="15">
        <f t="shared" si="0"/>
        <v>27</v>
      </c>
    </row>
    <row r="33" spans="2:4" x14ac:dyDescent="0.3">
      <c r="B33" s="15">
        <f t="shared" si="1"/>
        <v>53</v>
      </c>
      <c r="C33" s="16">
        <v>939.09862796991183</v>
      </c>
      <c r="D33" s="15">
        <f t="shared" si="0"/>
        <v>26.5</v>
      </c>
    </row>
    <row r="34" spans="2:4" x14ac:dyDescent="0.3">
      <c r="B34" s="15">
        <f t="shared" si="1"/>
        <v>52</v>
      </c>
      <c r="C34" s="16">
        <v>939.69789641321984</v>
      </c>
      <c r="D34" s="15">
        <f t="shared" si="0"/>
        <v>26</v>
      </c>
    </row>
    <row r="35" spans="2:4" x14ac:dyDescent="0.3">
      <c r="B35" s="15">
        <f t="shared" si="1"/>
        <v>51</v>
      </c>
      <c r="C35" s="16">
        <v>940.31094803072381</v>
      </c>
      <c r="D35" s="15">
        <f t="shared" si="0"/>
        <v>25.5</v>
      </c>
    </row>
    <row r="36" spans="2:4" x14ac:dyDescent="0.3">
      <c r="B36" s="15">
        <f t="shared" si="1"/>
        <v>50</v>
      </c>
      <c r="C36" s="16">
        <v>940.93809983543053</v>
      </c>
      <c r="D36" s="15">
        <f t="shared" si="0"/>
        <v>25</v>
      </c>
    </row>
    <row r="37" spans="2:4" x14ac:dyDescent="0.3">
      <c r="B37" s="15">
        <f t="shared" si="1"/>
        <v>49</v>
      </c>
      <c r="C37" s="16">
        <v>941.57967613164533</v>
      </c>
      <c r="D37" s="15">
        <f t="shared" si="0"/>
        <v>24.5</v>
      </c>
    </row>
    <row r="38" spans="2:4" x14ac:dyDescent="0.3">
      <c r="B38" s="15">
        <f t="shared" si="1"/>
        <v>48</v>
      </c>
      <c r="C38" s="16">
        <v>942.23600868267329</v>
      </c>
      <c r="D38" s="15">
        <f t="shared" si="0"/>
        <v>24</v>
      </c>
    </row>
    <row r="39" spans="2:4" x14ac:dyDescent="0.3">
      <c r="B39" s="15">
        <f t="shared" si="1"/>
        <v>47</v>
      </c>
      <c r="C39" s="16">
        <v>942.90743688237467</v>
      </c>
      <c r="D39" s="15">
        <f t="shared" si="0"/>
        <v>23.5</v>
      </c>
    </row>
    <row r="40" spans="2:4" x14ac:dyDescent="0.3">
      <c r="B40" s="15">
        <f t="shared" si="1"/>
        <v>46</v>
      </c>
      <c r="C40" s="16">
        <v>943.59430793066917</v>
      </c>
      <c r="D40" s="15">
        <f t="shared" si="0"/>
        <v>23</v>
      </c>
    </row>
    <row r="41" spans="2:4" x14ac:dyDescent="0.3">
      <c r="B41" s="15">
        <f t="shared" si="1"/>
        <v>45</v>
      </c>
      <c r="C41" s="16">
        <v>944.29697701307464</v>
      </c>
      <c r="D41" s="15">
        <f t="shared" si="0"/>
        <v>22.5</v>
      </c>
    </row>
    <row r="42" spans="2:4" x14ac:dyDescent="0.3">
      <c r="B42" s="15">
        <f t="shared" si="1"/>
        <v>44</v>
      </c>
      <c r="C42" s="16">
        <v>945.01580748437539</v>
      </c>
      <c r="D42" s="15">
        <f t="shared" si="0"/>
        <v>22</v>
      </c>
    </row>
    <row r="43" spans="2:4" x14ac:dyDescent="0.3">
      <c r="B43" s="15">
        <f t="shared" si="1"/>
        <v>43</v>
      </c>
      <c r="C43" s="16">
        <v>945.75117105651611</v>
      </c>
      <c r="D43" s="15">
        <f t="shared" si="0"/>
        <v>21.5</v>
      </c>
    </row>
    <row r="44" spans="2:4" x14ac:dyDescent="0.3">
      <c r="B44" s="15">
        <f t="shared" si="1"/>
        <v>42</v>
      </c>
      <c r="C44" s="16">
        <v>946.50344799081574</v>
      </c>
      <c r="D44" s="15">
        <f t="shared" si="0"/>
        <v>21</v>
      </c>
    </row>
    <row r="45" spans="2:4" x14ac:dyDescent="0.3">
      <c r="B45" s="15">
        <f t="shared" si="1"/>
        <v>41</v>
      </c>
      <c r="C45" s="16">
        <v>947.27302729460462</v>
      </c>
      <c r="D45" s="15">
        <f t="shared" si="0"/>
        <v>20.5</v>
      </c>
    </row>
    <row r="46" spans="2:4" x14ac:dyDescent="0.3">
      <c r="B46" s="15">
        <f t="shared" si="1"/>
        <v>40</v>
      </c>
      <c r="C46" s="16">
        <v>948.06030692238051</v>
      </c>
      <c r="D46" s="15">
        <f t="shared" si="0"/>
        <v>20</v>
      </c>
    </row>
    <row r="47" spans="2:4" x14ac:dyDescent="0.3">
      <c r="B47" s="15">
        <f t="shared" si="1"/>
        <v>39</v>
      </c>
      <c r="C47" s="16">
        <v>948.8656939815952</v>
      </c>
      <c r="D47" s="15">
        <f t="shared" si="0"/>
        <v>19.5</v>
      </c>
    </row>
    <row r="48" spans="2:4" x14ac:dyDescent="0.3">
      <c r="B48" s="15">
        <f t="shared" si="1"/>
        <v>38</v>
      </c>
      <c r="C48" s="16">
        <v>949.68960494317207</v>
      </c>
      <c r="D48" s="15">
        <f t="shared" si="0"/>
        <v>19</v>
      </c>
    </row>
    <row r="49" spans="2:4" x14ac:dyDescent="0.3">
      <c r="B49" s="15">
        <f t="shared" si="1"/>
        <v>37</v>
      </c>
      <c r="C49" s="16">
        <v>950.53246585686497</v>
      </c>
      <c r="D49" s="15">
        <f t="shared" si="0"/>
        <v>18.5</v>
      </c>
    </row>
    <row r="50" spans="2:4" x14ac:dyDescent="0.3">
      <c r="B50" s="15">
        <f t="shared" si="1"/>
        <v>36</v>
      </c>
      <c r="C50" s="16">
        <v>951.39471257157288</v>
      </c>
      <c r="D50" s="15">
        <f t="shared" si="0"/>
        <v>18</v>
      </c>
    </row>
    <row r="51" spans="2:4" x14ac:dyDescent="0.3">
      <c r="B51" s="15">
        <f t="shared" si="1"/>
        <v>35</v>
      </c>
      <c r="C51" s="16">
        <v>952.27679096071893</v>
      </c>
      <c r="D51" s="15">
        <f t="shared" si="0"/>
        <v>17.5</v>
      </c>
    </row>
    <row r="52" spans="2:4" x14ac:dyDescent="0.3">
      <c r="B52" s="15">
        <f t="shared" si="1"/>
        <v>34</v>
      </c>
      <c r="C52" s="16">
        <v>953.17915715281538</v>
      </c>
      <c r="D52" s="15">
        <f t="shared" si="0"/>
        <v>17</v>
      </c>
    </row>
    <row r="53" spans="2:4" x14ac:dyDescent="0.3">
      <c r="B53" s="15">
        <f t="shared" si="1"/>
        <v>33</v>
      </c>
      <c r="C53" s="16">
        <v>954.10227776733029</v>
      </c>
      <c r="D53" s="15">
        <f t="shared" si="0"/>
        <v>16.5</v>
      </c>
    </row>
    <row r="54" spans="2:4" x14ac:dyDescent="0.3">
      <c r="B54" s="15">
        <f t="shared" si="1"/>
        <v>32</v>
      </c>
      <c r="C54" s="16">
        <v>955.04663015597885</v>
      </c>
      <c r="D54" s="15">
        <f t="shared" si="0"/>
        <v>16</v>
      </c>
    </row>
    <row r="55" spans="2:4" x14ac:dyDescent="0.3">
      <c r="B55" s="15">
        <f t="shared" si="1"/>
        <v>31</v>
      </c>
      <c r="C55" s="16">
        <v>956.01270264956634</v>
      </c>
      <c r="D55" s="15">
        <f t="shared" si="0"/>
        <v>15.5</v>
      </c>
    </row>
    <row r="56" spans="2:4" x14ac:dyDescent="0.3">
      <c r="B56" s="15">
        <f t="shared" si="1"/>
        <v>30</v>
      </c>
      <c r="C56" s="16">
        <v>957.00099481050643</v>
      </c>
      <c r="D56" s="15">
        <f t="shared" si="0"/>
        <v>15</v>
      </c>
    </row>
    <row r="57" spans="2:4" x14ac:dyDescent="0.3">
      <c r="B57" s="15">
        <f t="shared" si="1"/>
        <v>29</v>
      </c>
      <c r="C57" s="16">
        <v>958.012017691148</v>
      </c>
      <c r="D57" s="15">
        <f t="shared" si="0"/>
        <v>14.5</v>
      </c>
    </row>
    <row r="58" spans="2:4" x14ac:dyDescent="0.3">
      <c r="B58" s="15">
        <f t="shared" si="1"/>
        <v>28</v>
      </c>
      <c r="C58" s="16">
        <v>959.04629409804443</v>
      </c>
      <c r="D58" s="15">
        <f t="shared" ref="D58:D86" si="2">B58/f</f>
        <v>14</v>
      </c>
    </row>
    <row r="59" spans="2:4" x14ac:dyDescent="0.3">
      <c r="B59" s="15">
        <f t="shared" si="1"/>
        <v>27</v>
      </c>
      <c r="C59" s="16">
        <v>960.10435886229936</v>
      </c>
      <c r="D59" s="15">
        <f t="shared" si="2"/>
        <v>13.5</v>
      </c>
    </row>
    <row r="60" spans="2:4" x14ac:dyDescent="0.3">
      <c r="B60" s="15">
        <f t="shared" si="1"/>
        <v>26</v>
      </c>
      <c r="C60" s="16">
        <v>961.18675911613229</v>
      </c>
      <c r="D60" s="15">
        <f t="shared" si="2"/>
        <v>13</v>
      </c>
    </row>
    <row r="61" spans="2:4" x14ac:dyDescent="0.3">
      <c r="B61" s="15">
        <f t="shared" si="1"/>
        <v>25</v>
      </c>
      <c r="C61" s="16">
        <v>962.29405457580344</v>
      </c>
      <c r="D61" s="15">
        <f t="shared" si="2"/>
        <v>12.5</v>
      </c>
    </row>
    <row r="62" spans="2:4" x14ac:dyDescent="0.3">
      <c r="B62" s="15">
        <f t="shared" si="1"/>
        <v>24</v>
      </c>
      <c r="C62" s="16">
        <v>963.42681783104695</v>
      </c>
      <c r="D62" s="15">
        <f t="shared" si="2"/>
        <v>12</v>
      </c>
    </row>
    <row r="63" spans="2:4" x14ac:dyDescent="0.3">
      <c r="B63" s="15">
        <f t="shared" si="1"/>
        <v>23</v>
      </c>
      <c r="C63" s="16">
        <v>964.58563464116094</v>
      </c>
      <c r="D63" s="15">
        <f t="shared" si="2"/>
        <v>11.5</v>
      </c>
    </row>
    <row r="64" spans="2:4" x14ac:dyDescent="0.3">
      <c r="B64" s="15">
        <f t="shared" si="1"/>
        <v>22</v>
      </c>
      <c r="C64" s="16">
        <v>965.77110423790759</v>
      </c>
      <c r="D64" s="15">
        <f t="shared" si="2"/>
        <v>11</v>
      </c>
    </row>
    <row r="65" spans="2:4" x14ac:dyDescent="0.3">
      <c r="B65" s="15">
        <f t="shared" si="1"/>
        <v>21</v>
      </c>
      <c r="C65" s="16">
        <v>966.98383963537947</v>
      </c>
      <c r="D65" s="15">
        <f t="shared" si="2"/>
        <v>10.5</v>
      </c>
    </row>
    <row r="66" spans="2:4" x14ac:dyDescent="0.3">
      <c r="B66" s="15">
        <f t="shared" si="1"/>
        <v>20</v>
      </c>
      <c r="C66" s="16">
        <v>968.22446794699329</v>
      </c>
      <c r="D66" s="15">
        <f t="shared" si="2"/>
        <v>10</v>
      </c>
    </row>
    <row r="67" spans="2:4" x14ac:dyDescent="0.3">
      <c r="B67" s="15">
        <f t="shared" si="1"/>
        <v>19</v>
      </c>
      <c r="C67" s="16">
        <v>969.49363070977404</v>
      </c>
      <c r="D67" s="15">
        <f t="shared" si="2"/>
        <v>9.5</v>
      </c>
    </row>
    <row r="68" spans="2:4" x14ac:dyDescent="0.3">
      <c r="B68" s="15">
        <f t="shared" si="1"/>
        <v>18</v>
      </c>
      <c r="C68" s="16">
        <v>970.79198421609885</v>
      </c>
      <c r="D68" s="15">
        <f t="shared" si="2"/>
        <v>9</v>
      </c>
    </row>
    <row r="69" spans="2:4" x14ac:dyDescent="0.3">
      <c r="B69" s="15">
        <f t="shared" si="1"/>
        <v>17</v>
      </c>
      <c r="C69" s="16">
        <v>972.12019985306915</v>
      </c>
      <c r="D69" s="15">
        <f t="shared" si="2"/>
        <v>8.5</v>
      </c>
    </row>
    <row r="70" spans="2:4" x14ac:dyDescent="0.3">
      <c r="B70" s="15">
        <f t="shared" si="1"/>
        <v>16</v>
      </c>
      <c r="C70" s="16">
        <v>973.47896444968967</v>
      </c>
      <c r="D70" s="15">
        <f t="shared" si="2"/>
        <v>8</v>
      </c>
    </row>
    <row r="71" spans="2:4" x14ac:dyDescent="0.3">
      <c r="B71" s="15">
        <f t="shared" si="1"/>
        <v>15</v>
      </c>
      <c r="C71" s="16">
        <v>974.8689806320325</v>
      </c>
      <c r="D71" s="15">
        <f t="shared" si="2"/>
        <v>7.5</v>
      </c>
    </row>
    <row r="72" spans="2:4" x14ac:dyDescent="0.3">
      <c r="B72" s="15">
        <f t="shared" si="1"/>
        <v>14</v>
      </c>
      <c r="C72" s="16">
        <v>976.29096718656933</v>
      </c>
      <c r="D72" s="15">
        <f t="shared" si="2"/>
        <v>7</v>
      </c>
    </row>
    <row r="73" spans="2:4" x14ac:dyDescent="0.3">
      <c r="B73" s="15">
        <f t="shared" si="1"/>
        <v>13</v>
      </c>
      <c r="C73" s="16">
        <v>977.74565943186042</v>
      </c>
      <c r="D73" s="15">
        <f t="shared" si="2"/>
        <v>6.5</v>
      </c>
    </row>
    <row r="74" spans="2:4" x14ac:dyDescent="0.3">
      <c r="B74" s="15">
        <f t="shared" si="1"/>
        <v>12</v>
      </c>
      <c r="C74" s="16">
        <v>979.23380959879307</v>
      </c>
      <c r="D74" s="15">
        <f t="shared" si="2"/>
        <v>6</v>
      </c>
    </row>
    <row r="75" spans="2:4" x14ac:dyDescent="0.3">
      <c r="B75" s="15">
        <f t="shared" si="1"/>
        <v>11</v>
      </c>
      <c r="C75" s="16">
        <v>980.7561872195655</v>
      </c>
      <c r="D75" s="15">
        <f t="shared" si="2"/>
        <v>5.5</v>
      </c>
    </row>
    <row r="76" spans="2:4" x14ac:dyDescent="0.3">
      <c r="B76" s="15">
        <f t="shared" si="1"/>
        <v>10</v>
      </c>
      <c r="C76" s="16">
        <v>982.31357952561541</v>
      </c>
      <c r="D76" s="15">
        <f t="shared" si="2"/>
        <v>5</v>
      </c>
    </row>
    <row r="77" spans="2:4" x14ac:dyDescent="0.3">
      <c r="B77" s="15">
        <f t="shared" si="1"/>
        <v>9</v>
      </c>
      <c r="C77" s="16">
        <v>983.90679185470458</v>
      </c>
      <c r="D77" s="15">
        <f t="shared" si="2"/>
        <v>4.5</v>
      </c>
    </row>
    <row r="78" spans="2:4" x14ac:dyDescent="0.3">
      <c r="B78" s="15">
        <f t="shared" si="1"/>
        <v>8</v>
      </c>
      <c r="C78" s="16">
        <v>985.53664806736276</v>
      </c>
      <c r="D78" s="15">
        <f t="shared" si="2"/>
        <v>4</v>
      </c>
    </row>
    <row r="79" spans="2:4" x14ac:dyDescent="0.3">
      <c r="B79" s="15">
        <f t="shared" si="1"/>
        <v>7</v>
      </c>
      <c r="C79" s="16">
        <v>987.20399097291215</v>
      </c>
      <c r="D79" s="15">
        <f t="shared" si="2"/>
        <v>3.5</v>
      </c>
    </row>
    <row r="80" spans="2:4" x14ac:dyDescent="0.3">
      <c r="B80" s="15">
        <f t="shared" si="1"/>
        <v>6</v>
      </c>
      <c r="C80" s="16">
        <v>988.90968276528895</v>
      </c>
      <c r="D80" s="15">
        <f t="shared" si="2"/>
        <v>3</v>
      </c>
    </row>
    <row r="81" spans="2:4" x14ac:dyDescent="0.3">
      <c r="B81" s="15">
        <f t="shared" si="1"/>
        <v>5</v>
      </c>
      <c r="C81" s="16">
        <v>990.65460546889062</v>
      </c>
      <c r="D81" s="15">
        <f t="shared" si="2"/>
        <v>2.5</v>
      </c>
    </row>
    <row r="82" spans="2:4" x14ac:dyDescent="0.3">
      <c r="B82" s="15">
        <f t="shared" si="1"/>
        <v>4</v>
      </c>
      <c r="C82" s="16">
        <v>992.43966139467511</v>
      </c>
      <c r="D82" s="15">
        <f t="shared" si="2"/>
        <v>2</v>
      </c>
    </row>
    <row r="83" spans="2:4" x14ac:dyDescent="0.3">
      <c r="B83" s="15">
        <f t="shared" si="1"/>
        <v>3</v>
      </c>
      <c r="C83" s="16">
        <v>994.26577360675265</v>
      </c>
      <c r="D83" s="15">
        <f t="shared" si="2"/>
        <v>1.5</v>
      </c>
    </row>
    <row r="84" spans="2:4" x14ac:dyDescent="0.3">
      <c r="B84" s="15">
        <f t="shared" si="1"/>
        <v>2</v>
      </c>
      <c r="C84" s="16">
        <v>996.13388639970788</v>
      </c>
      <c r="D84" s="15">
        <f t="shared" si="2"/>
        <v>1</v>
      </c>
    </row>
    <row r="85" spans="2:4" x14ac:dyDescent="0.3">
      <c r="B85" s="15">
        <f t="shared" si="1"/>
        <v>1</v>
      </c>
      <c r="C85" s="16">
        <v>998.04496578690123</v>
      </c>
      <c r="D85" s="15">
        <f t="shared" si="2"/>
        <v>0.5</v>
      </c>
    </row>
    <row r="86" spans="2:4" x14ac:dyDescent="0.3">
      <c r="B86" s="15">
        <f t="shared" si="1"/>
        <v>0</v>
      </c>
      <c r="C86" s="16">
        <v>1000</v>
      </c>
      <c r="D86" s="15">
        <f t="shared" si="2"/>
        <v>0</v>
      </c>
    </row>
  </sheetData>
  <mergeCells count="2">
    <mergeCell ref="B24:B25"/>
    <mergeCell ref="D24:D25"/>
  </mergeCells>
  <phoneticPr fontId="2"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6" r:id="rId4" name="Spinner 8">
              <controlPr defaultSize="0" autoPict="0">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2057" r:id="rId5" name="Spinner 9">
              <controlPr defaultSize="0" autoPict="0">
                <anchor moveWithCells="1" sizeWithCells="1">
                  <from>
                    <xdr:col>2</xdr:col>
                    <xdr:colOff>0</xdr:colOff>
                    <xdr:row>4</xdr:row>
                    <xdr:rowOff>0</xdr:rowOff>
                  </from>
                  <to>
                    <xdr:col>3</xdr:col>
                    <xdr:colOff>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80BDC-181D-417A-BE52-9A60613F9640}">
  <sheetPr codeName="Sheet2"/>
  <dimension ref="A1:F35"/>
  <sheetViews>
    <sheetView workbookViewId="0">
      <selection activeCell="B9" sqref="B9"/>
    </sheetView>
  </sheetViews>
  <sheetFormatPr defaultRowHeight="16.5" x14ac:dyDescent="0.3"/>
  <cols>
    <col min="1" max="1" width="45.875" bestFit="1" customWidth="1"/>
    <col min="2" max="2" width="6.875" bestFit="1" customWidth="1"/>
    <col min="3" max="3" width="9" bestFit="1" customWidth="1"/>
    <col min="4" max="4" width="11.25" bestFit="1" customWidth="1"/>
    <col min="5" max="5" width="16.375" bestFit="1" customWidth="1"/>
    <col min="6" max="6" width="13.625" bestFit="1" customWidth="1"/>
  </cols>
  <sheetData>
    <row r="1" spans="1:2" x14ac:dyDescent="0.3"/>
    <row r="4" spans="1:2" x14ac:dyDescent="0.3">
      <c r="A4" s="1" t="s">
        <v>50</v>
      </c>
      <c r="B4" s="19">
        <v>0.05</v>
      </c>
    </row>
    <row r="5" spans="1:2" x14ac:dyDescent="0.3">
      <c r="A5" s="1" t="s">
        <v>19</v>
      </c>
      <c r="B5" s="7">
        <v>10</v>
      </c>
    </row>
    <row r="6" spans="1:2" x14ac:dyDescent="0.3">
      <c r="A6" s="1" t="s">
        <v>58</v>
      </c>
      <c r="B6" s="20">
        <v>1000</v>
      </c>
    </row>
    <row r="8" spans="1:2" x14ac:dyDescent="0.3">
      <c r="A8" s="2" t="s">
        <v>61</v>
      </c>
      <c r="B8" s="23">
        <f>SUM(F26:F35)</f>
        <v>952.81858820598632</v>
      </c>
    </row>
    <row r="9" spans="1:2" x14ac:dyDescent="0.3">
      <c r="A9" s="2" t="s">
        <v>62</v>
      </c>
      <c r="B9" s="24">
        <f>RATE(B5,-B6*B4,B8,-B6)</f>
        <v>5.6298497580764842E-2</v>
      </c>
    </row>
    <row r="18" spans="1:6" x14ac:dyDescent="0.3"/>
    <row r="23" spans="1:6" x14ac:dyDescent="0.3">
      <c r="C23" s="51" t="s">
        <v>20</v>
      </c>
      <c r="D23" s="52" t="s">
        <v>21</v>
      </c>
      <c r="E23" s="50" t="s">
        <v>22</v>
      </c>
      <c r="F23" s="50" t="s">
        <v>23</v>
      </c>
    </row>
    <row r="24" spans="1:6" x14ac:dyDescent="0.3">
      <c r="C24" s="51"/>
      <c r="D24" s="53"/>
      <c r="E24" s="50"/>
      <c r="F24" s="50"/>
    </row>
    <row r="25" spans="1:6" x14ac:dyDescent="0.3">
      <c r="C25" s="7">
        <v>0</v>
      </c>
      <c r="D25" s="54"/>
      <c r="E25" s="50"/>
      <c r="F25" s="50"/>
    </row>
    <row r="26" spans="1:6" x14ac:dyDescent="0.3">
      <c r="C26" s="7">
        <v>1</v>
      </c>
      <c r="D26" s="21">
        <v>0.01</v>
      </c>
      <c r="E26" s="23">
        <f>$B$6*$B$4</f>
        <v>50</v>
      </c>
      <c r="F26" s="23">
        <f>E26/(1+D26)^C26</f>
        <v>49.504950495049506</v>
      </c>
    </row>
    <row r="27" spans="1:6" x14ac:dyDescent="0.3">
      <c r="C27" s="7">
        <v>2</v>
      </c>
      <c r="D27" s="22">
        <v>2.1999999999999999E-2</v>
      </c>
      <c r="E27" s="23">
        <f t="shared" ref="E27:E34" si="0">$B$6*$B$4</f>
        <v>50</v>
      </c>
      <c r="F27" s="23">
        <f t="shared" ref="F27:F35" si="1">E27/(1+D27)^C27</f>
        <v>47.870527456619726</v>
      </c>
    </row>
    <row r="28" spans="1:6" x14ac:dyDescent="0.3">
      <c r="C28" s="7">
        <v>3</v>
      </c>
      <c r="D28" s="22">
        <v>3.1E-2</v>
      </c>
      <c r="E28" s="23">
        <f t="shared" si="0"/>
        <v>50</v>
      </c>
      <c r="F28" s="23">
        <f t="shared" si="1"/>
        <v>45.624068274972814</v>
      </c>
    </row>
    <row r="29" spans="1:6" x14ac:dyDescent="0.3">
      <c r="C29" s="7">
        <v>4</v>
      </c>
      <c r="D29" s="22">
        <v>0.04</v>
      </c>
      <c r="E29" s="23">
        <f t="shared" si="0"/>
        <v>50</v>
      </c>
      <c r="F29" s="23">
        <f t="shared" si="1"/>
        <v>42.740209551486288</v>
      </c>
    </row>
    <row r="30" spans="1:6" x14ac:dyDescent="0.3">
      <c r="C30" s="7">
        <v>5</v>
      </c>
      <c r="D30" s="22">
        <v>4.4999999999999998E-2</v>
      </c>
      <c r="E30" s="23">
        <f t="shared" si="0"/>
        <v>50</v>
      </c>
      <c r="F30" s="23">
        <f t="shared" si="1"/>
        <v>40.122552325034206</v>
      </c>
    </row>
    <row r="31" spans="1:6" x14ac:dyDescent="0.3">
      <c r="C31" s="7">
        <v>6</v>
      </c>
      <c r="D31" s="22">
        <v>0.05</v>
      </c>
      <c r="E31" s="23">
        <f t="shared" si="0"/>
        <v>50</v>
      </c>
      <c r="F31" s="23">
        <f t="shared" si="1"/>
        <v>37.310769831831387</v>
      </c>
    </row>
    <row r="32" spans="1:6" x14ac:dyDescent="0.3">
      <c r="C32" s="7">
        <v>7</v>
      </c>
      <c r="D32" s="22">
        <v>5.2999999999999999E-2</v>
      </c>
      <c r="E32" s="23">
        <f t="shared" si="0"/>
        <v>50</v>
      </c>
      <c r="F32" s="23">
        <f t="shared" si="1"/>
        <v>34.83143812511917</v>
      </c>
    </row>
    <row r="33" spans="3:6" x14ac:dyDescent="0.3">
      <c r="C33" s="7">
        <v>8</v>
      </c>
      <c r="D33" s="22">
        <v>5.5E-2</v>
      </c>
      <c r="E33" s="23">
        <f t="shared" si="0"/>
        <v>50</v>
      </c>
      <c r="F33" s="23">
        <f t="shared" si="1"/>
        <v>32.579943533370617</v>
      </c>
    </row>
    <row r="34" spans="3:6" x14ac:dyDescent="0.3">
      <c r="C34" s="7">
        <v>9</v>
      </c>
      <c r="D34" s="22">
        <v>5.7000000000000002E-2</v>
      </c>
      <c r="E34" s="23">
        <f t="shared" si="0"/>
        <v>50</v>
      </c>
      <c r="F34" s="23">
        <f t="shared" si="1"/>
        <v>30.359535219518857</v>
      </c>
    </row>
    <row r="35" spans="3:6" x14ac:dyDescent="0.3">
      <c r="C35" s="7">
        <v>10</v>
      </c>
      <c r="D35" s="22">
        <v>5.8999999999999997E-2</v>
      </c>
      <c r="E35" s="23">
        <f>B6+B6*B4</f>
        <v>1050</v>
      </c>
      <c r="F35" s="23">
        <f t="shared" si="1"/>
        <v>591.87459339298368</v>
      </c>
    </row>
  </sheetData>
  <mergeCells count="4">
    <mergeCell ref="C23:C24"/>
    <mergeCell ref="D23:D25"/>
    <mergeCell ref="E23:E25"/>
    <mergeCell ref="F23:F25"/>
  </mergeCells>
  <phoneticPr fontId="2" type="noConversion"/>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40CF1-9B4E-4D4C-A8B7-AAA23BB171CB}">
  <sheetPr codeName="Sheet3"/>
  <dimension ref="A1:H127"/>
  <sheetViews>
    <sheetView workbookViewId="0">
      <selection activeCell="C8" sqref="C8"/>
    </sheetView>
  </sheetViews>
  <sheetFormatPr defaultRowHeight="16.5" x14ac:dyDescent="0.3"/>
  <cols>
    <col min="1" max="1" width="49.625" bestFit="1" customWidth="1"/>
    <col min="2" max="2" width="11.125" bestFit="1" customWidth="1"/>
    <col min="3" max="3" width="15.875" bestFit="1" customWidth="1"/>
    <col min="4" max="4" width="7.625" bestFit="1" customWidth="1"/>
    <col min="5" max="5" width="15.875" bestFit="1" customWidth="1"/>
    <col min="7" max="7" width="6.5" bestFit="1" customWidth="1"/>
    <col min="8" max="8" width="18.125" bestFit="1" customWidth="1"/>
  </cols>
  <sheetData>
    <row r="1" spans="1:4" x14ac:dyDescent="0.3"/>
    <row r="3" spans="1:4" x14ac:dyDescent="0.3">
      <c r="A3" s="2" t="s">
        <v>50</v>
      </c>
      <c r="B3" s="3">
        <f>D3/1000</f>
        <v>0.05</v>
      </c>
      <c r="D3" s="7">
        <v>50</v>
      </c>
    </row>
    <row r="4" spans="1:4" x14ac:dyDescent="0.3">
      <c r="A4" s="2" t="s">
        <v>49</v>
      </c>
      <c r="B4" s="10">
        <f>D4/1000</f>
        <v>7.0000000000000007E-2</v>
      </c>
      <c r="D4" s="7">
        <v>70</v>
      </c>
    </row>
    <row r="5" spans="1:4" x14ac:dyDescent="0.3">
      <c r="A5" s="1" t="s">
        <v>57</v>
      </c>
      <c r="B5" s="7">
        <v>40</v>
      </c>
    </row>
    <row r="6" spans="1:4" x14ac:dyDescent="0.3">
      <c r="A6" s="1" t="s">
        <v>51</v>
      </c>
      <c r="B6" s="7">
        <v>2</v>
      </c>
    </row>
    <row r="7" spans="1:4" x14ac:dyDescent="0.3">
      <c r="A7" s="1" t="s">
        <v>58</v>
      </c>
      <c r="B7" s="20">
        <v>1000</v>
      </c>
    </row>
    <row r="9" spans="1:4" x14ac:dyDescent="0.3">
      <c r="A9" s="2" t="s">
        <v>54</v>
      </c>
      <c r="B9" s="3">
        <f>B4/B6</f>
        <v>3.5000000000000003E-2</v>
      </c>
    </row>
    <row r="10" spans="1:4" x14ac:dyDescent="0.3">
      <c r="A10" s="2" t="s">
        <v>55</v>
      </c>
      <c r="B10" s="25">
        <f>B7*B3/B6</f>
        <v>25</v>
      </c>
    </row>
    <row r="11" spans="1:4" x14ac:dyDescent="0.3">
      <c r="A11" s="2" t="s">
        <v>19</v>
      </c>
      <c r="B11" s="26">
        <f>B5/B6</f>
        <v>20</v>
      </c>
    </row>
    <row r="12" spans="1:4" x14ac:dyDescent="0.3">
      <c r="A12" s="2" t="s">
        <v>59</v>
      </c>
      <c r="B12" s="27">
        <f>IF(B3=B4,B7,PV(B9,B5,-B10,-B7))</f>
        <v>786.44927662702491</v>
      </c>
    </row>
    <row r="14" spans="1:4" x14ac:dyDescent="0.3">
      <c r="A14" s="55" t="s">
        <v>24</v>
      </c>
      <c r="B14" s="55"/>
    </row>
    <row r="15" spans="1:4" x14ac:dyDescent="0.3">
      <c r="A15" s="2" t="s">
        <v>25</v>
      </c>
      <c r="B15" s="28">
        <f>SUM(E27:E67)/B6</f>
        <v>11.872375596964766</v>
      </c>
    </row>
    <row r="16" spans="1:4" x14ac:dyDescent="0.3">
      <c r="A16" s="2" t="s">
        <v>26</v>
      </c>
      <c r="B16" s="28">
        <f>B15/(1+B9)</f>
        <v>11.470894296584316</v>
      </c>
    </row>
    <row r="18" spans="1:8" x14ac:dyDescent="0.3">
      <c r="A18" s="56" t="s">
        <v>27</v>
      </c>
      <c r="B18" s="57"/>
    </row>
    <row r="19" spans="1:8" x14ac:dyDescent="0.3">
      <c r="A19" s="1" t="s">
        <v>28</v>
      </c>
      <c r="B19" s="29">
        <f ca="1">TODAY()</f>
        <v>44176</v>
      </c>
    </row>
    <row r="20" spans="1:8" x14ac:dyDescent="0.3">
      <c r="A20" s="2" t="s">
        <v>60</v>
      </c>
      <c r="B20" s="43">
        <f ca="1">B19+365*B11</f>
        <v>51476</v>
      </c>
    </row>
    <row r="21" spans="1:8" x14ac:dyDescent="0.3">
      <c r="A21" s="2" t="s">
        <v>29</v>
      </c>
      <c r="B21" s="28">
        <f ca="1">DURATION(B19,B20,B3,B4,B6)</f>
        <v>11.858486708075858</v>
      </c>
    </row>
    <row r="22" spans="1:8" x14ac:dyDescent="0.3">
      <c r="A22" s="2" t="s">
        <v>30</v>
      </c>
      <c r="B22" s="28">
        <f ca="1">MDURATION(B19,B20,B3,B4,B6)</f>
        <v>11.45747508026653</v>
      </c>
    </row>
    <row r="26" spans="1:8" x14ac:dyDescent="0.3">
      <c r="A26" s="1" t="s">
        <v>32</v>
      </c>
      <c r="B26" s="2" t="s">
        <v>31</v>
      </c>
      <c r="C26" s="2" t="s">
        <v>33</v>
      </c>
      <c r="D26" s="2" t="s">
        <v>34</v>
      </c>
      <c r="E26" s="2" t="s">
        <v>35</v>
      </c>
      <c r="G26" s="52" t="s">
        <v>36</v>
      </c>
      <c r="H26" s="2" t="s">
        <v>37</v>
      </c>
    </row>
    <row r="27" spans="1:8" ht="17.25" thickBot="1" x14ac:dyDescent="0.35">
      <c r="A27" s="7">
        <v>1</v>
      </c>
      <c r="B27" s="25">
        <f>$B$10</f>
        <v>25</v>
      </c>
      <c r="C27" s="25">
        <f>B27*(1+$B$9)^-A27</f>
        <v>24.154589371980677</v>
      </c>
      <c r="D27" s="28">
        <f>C27/$B$12</f>
        <v>3.0713473951653258E-2</v>
      </c>
      <c r="E27" s="28">
        <f>A27*D27</f>
        <v>3.0713473951653258E-2</v>
      </c>
      <c r="G27" s="58"/>
      <c r="H27" s="31">
        <f ca="1">B22</f>
        <v>11.45747508026653</v>
      </c>
    </row>
    <row r="28" spans="1:8" x14ac:dyDescent="0.3">
      <c r="A28" s="7">
        <v>2</v>
      </c>
      <c r="B28" s="25">
        <f t="shared" ref="B28:B66" si="0">$B$10</f>
        <v>25</v>
      </c>
      <c r="C28" s="25">
        <f>B28*(1+$B$9)^-A28</f>
        <v>23.337767509160077</v>
      </c>
      <c r="D28" s="28">
        <f t="shared" ref="D28:D67" si="1">C28/$B$12</f>
        <v>2.9674854059568368E-2</v>
      </c>
      <c r="E28" s="28">
        <f t="shared" ref="E28:E67" si="2">A28*D28</f>
        <v>5.9349708119136736E-2</v>
      </c>
      <c r="G28" s="32">
        <v>1E-3</v>
      </c>
      <c r="H28" s="30">
        <f t="dataTable" ref="H28:H127" dt2D="0" dtr="0" r1="B4" ca="1"/>
        <v>15.063046239966042</v>
      </c>
    </row>
    <row r="29" spans="1:8" x14ac:dyDescent="0.3">
      <c r="A29" s="7">
        <v>3</v>
      </c>
      <c r="B29" s="25">
        <f t="shared" si="0"/>
        <v>25</v>
      </c>
      <c r="C29" s="25">
        <f t="shared" ref="C29:C67" si="3">B29*(1+$B$9)^-A29</f>
        <v>22.548567641700558</v>
      </c>
      <c r="D29" s="28">
        <f t="shared" si="1"/>
        <v>2.8671356579293109E-2</v>
      </c>
      <c r="E29" s="28">
        <f t="shared" si="2"/>
        <v>8.6014069737879326E-2</v>
      </c>
      <c r="G29" s="22">
        <v>2E-3</v>
      </c>
      <c r="H29" s="15">
        <v>15.014807559921477</v>
      </c>
    </row>
    <row r="30" spans="1:8" x14ac:dyDescent="0.3">
      <c r="A30" s="7">
        <v>4</v>
      </c>
      <c r="B30" s="25">
        <f t="shared" si="0"/>
        <v>25</v>
      </c>
      <c r="C30" s="25">
        <f t="shared" si="3"/>
        <v>21.786055692464309</v>
      </c>
      <c r="D30" s="28">
        <f t="shared" si="1"/>
        <v>2.7701793796418465E-2</v>
      </c>
      <c r="E30" s="28">
        <f t="shared" si="2"/>
        <v>0.11080717518567386</v>
      </c>
      <c r="G30" s="22">
        <v>3.0000000000000001E-3</v>
      </c>
      <c r="H30" s="15">
        <v>14.966396715539306</v>
      </c>
    </row>
    <row r="31" spans="1:8" x14ac:dyDescent="0.3">
      <c r="A31" s="7">
        <v>5</v>
      </c>
      <c r="B31" s="25">
        <f t="shared" si="0"/>
        <v>25</v>
      </c>
      <c r="C31" s="25">
        <f t="shared" si="3"/>
        <v>21.049329171463103</v>
      </c>
      <c r="D31" s="28">
        <f t="shared" si="1"/>
        <v>2.6765018160790792E-2</v>
      </c>
      <c r="E31" s="28">
        <f t="shared" si="2"/>
        <v>0.13382509080395397</v>
      </c>
      <c r="G31" s="22">
        <v>4.0000000000000001E-3</v>
      </c>
      <c r="H31" s="15">
        <v>14.917815399567912</v>
      </c>
    </row>
    <row r="32" spans="1:8" x14ac:dyDescent="0.3">
      <c r="A32" s="7">
        <v>6</v>
      </c>
      <c r="B32" s="25">
        <f t="shared" si="0"/>
        <v>25</v>
      </c>
      <c r="C32" s="25">
        <f t="shared" si="3"/>
        <v>20.337516107693819</v>
      </c>
      <c r="D32" s="28">
        <f t="shared" si="1"/>
        <v>2.5859920928300282E-2</v>
      </c>
      <c r="E32" s="28">
        <f t="shared" si="2"/>
        <v>0.1551595255698017</v>
      </c>
      <c r="G32" s="22">
        <v>5.0000000000000001E-3</v>
      </c>
      <c r="H32" s="15">
        <v>14.869065352918069</v>
      </c>
    </row>
    <row r="33" spans="1:8" x14ac:dyDescent="0.3">
      <c r="A33" s="7">
        <v>7</v>
      </c>
      <c r="B33" s="25">
        <f t="shared" si="0"/>
        <v>25</v>
      </c>
      <c r="C33" s="25">
        <f t="shared" si="3"/>
        <v>19.649774017095478</v>
      </c>
      <c r="D33" s="28">
        <f t="shared" si="1"/>
        <v>2.4985430848599305E-2</v>
      </c>
      <c r="E33" s="28">
        <f t="shared" si="2"/>
        <v>0.17489801594019513</v>
      </c>
      <c r="G33" s="22">
        <v>6.0000000000000001E-3</v>
      </c>
      <c r="H33" s="15">
        <v>14.820148364615459</v>
      </c>
    </row>
    <row r="34" spans="1:8" x14ac:dyDescent="0.3">
      <c r="A34" s="7">
        <v>8</v>
      </c>
      <c r="B34" s="25">
        <f t="shared" si="0"/>
        <v>25</v>
      </c>
      <c r="C34" s="25">
        <f t="shared" si="3"/>
        <v>18.985288905406264</v>
      </c>
      <c r="D34" s="28">
        <f t="shared" si="1"/>
        <v>2.4140512897197406E-2</v>
      </c>
      <c r="E34" s="28">
        <f t="shared" si="2"/>
        <v>0.19312410317757925</v>
      </c>
      <c r="G34" s="22">
        <v>7.0000000000000001E-3</v>
      </c>
      <c r="H34" s="15">
        <v>14.771066271729289</v>
      </c>
    </row>
    <row r="35" spans="1:8" x14ac:dyDescent="0.3">
      <c r="A35" s="7">
        <v>9</v>
      </c>
      <c r="B35" s="25">
        <f t="shared" si="0"/>
        <v>25</v>
      </c>
      <c r="C35" s="25">
        <f t="shared" si="3"/>
        <v>18.343274304740355</v>
      </c>
      <c r="D35" s="28">
        <f t="shared" si="1"/>
        <v>2.332416705043228E-2</v>
      </c>
      <c r="E35" s="28">
        <f t="shared" si="2"/>
        <v>0.20991750345389051</v>
      </c>
      <c r="G35" s="22">
        <v>8.0000000000000002E-3</v>
      </c>
      <c r="H35" s="15">
        <v>14.721820959276853</v>
      </c>
    </row>
    <row r="36" spans="1:8" x14ac:dyDescent="0.3">
      <c r="A36" s="7">
        <v>10</v>
      </c>
      <c r="B36" s="25">
        <f t="shared" si="0"/>
        <v>25</v>
      </c>
      <c r="C36" s="25">
        <f t="shared" si="3"/>
        <v>17.722970342744304</v>
      </c>
      <c r="D36" s="28">
        <f t="shared" si="1"/>
        <v>2.2535427101866935E-2</v>
      </c>
      <c r="E36" s="28">
        <f t="shared" si="2"/>
        <v>0.22535427101866934</v>
      </c>
      <c r="G36" s="22">
        <v>8.9999999999999993E-3</v>
      </c>
      <c r="H36" s="15">
        <v>14.672414360103536</v>
      </c>
    </row>
    <row r="37" spans="1:8" x14ac:dyDescent="0.3">
      <c r="A37" s="7">
        <v>11</v>
      </c>
      <c r="B37" s="25">
        <f t="shared" si="0"/>
        <v>25</v>
      </c>
      <c r="C37" s="25">
        <f t="shared" si="3"/>
        <v>17.123642843231213</v>
      </c>
      <c r="D37" s="28">
        <f t="shared" si="1"/>
        <v>2.1773359518712017E-2</v>
      </c>
      <c r="E37" s="28">
        <f t="shared" si="2"/>
        <v>0.23950695470583219</v>
      </c>
      <c r="G37" s="22">
        <v>0.01</v>
      </c>
      <c r="H37" s="15">
        <v>14.622848454738326</v>
      </c>
    </row>
    <row r="38" spans="1:8" x14ac:dyDescent="0.3">
      <c r="A38" s="7">
        <v>12</v>
      </c>
      <c r="B38" s="25">
        <f t="shared" si="0"/>
        <v>25</v>
      </c>
      <c r="C38" s="25">
        <f t="shared" si="3"/>
        <v>16.544582457228223</v>
      </c>
      <c r="D38" s="28">
        <f t="shared" si="1"/>
        <v>2.1037062336919821E-2</v>
      </c>
      <c r="E38" s="28">
        <f t="shared" si="2"/>
        <v>0.25244474804303785</v>
      </c>
      <c r="G38" s="22">
        <v>1.0999999999999999E-2</v>
      </c>
      <c r="H38" s="15">
        <v>14.573125271224331</v>
      </c>
    </row>
    <row r="39" spans="1:8" x14ac:dyDescent="0.3">
      <c r="A39" s="7">
        <v>13</v>
      </c>
      <c r="B39" s="25">
        <f t="shared" si="0"/>
        <v>25</v>
      </c>
      <c r="C39" s="25">
        <f t="shared" si="3"/>
        <v>15.985103823408917</v>
      </c>
      <c r="D39" s="28">
        <f t="shared" si="1"/>
        <v>2.0325664093642344E-2</v>
      </c>
      <c r="E39" s="28">
        <f t="shared" si="2"/>
        <v>0.26423363321735049</v>
      </c>
      <c r="G39" s="22">
        <v>1.2E-2</v>
      </c>
      <c r="H39" s="15">
        <v>14.523246884924312</v>
      </c>
    </row>
    <row r="40" spans="1:8" x14ac:dyDescent="0.3">
      <c r="A40" s="7">
        <v>14</v>
      </c>
      <c r="B40" s="25">
        <f t="shared" si="0"/>
        <v>25</v>
      </c>
      <c r="C40" s="25">
        <f t="shared" si="3"/>
        <v>15.444544756916825</v>
      </c>
      <c r="D40" s="28">
        <f t="shared" si="1"/>
        <v>1.9638322795789701E-2</v>
      </c>
      <c r="E40" s="28">
        <f t="shared" si="2"/>
        <v>0.27493651914105582</v>
      </c>
      <c r="G40" s="22">
        <v>1.2999999999999999E-2</v>
      </c>
      <c r="H40" s="15">
        <v>14.4732154183007</v>
      </c>
    </row>
    <row r="41" spans="1:8" x14ac:dyDescent="0.3">
      <c r="A41" s="7">
        <v>15</v>
      </c>
      <c r="B41" s="25">
        <f t="shared" si="0"/>
        <v>25</v>
      </c>
      <c r="C41" s="25">
        <f t="shared" si="3"/>
        <v>14.922265465620125</v>
      </c>
      <c r="D41" s="28">
        <f t="shared" si="1"/>
        <v>1.8974224923468317E-2</v>
      </c>
      <c r="E41" s="28">
        <f t="shared" si="2"/>
        <v>0.28461337385202473</v>
      </c>
      <c r="G41" s="22">
        <v>1.4E-2</v>
      </c>
      <c r="H41" s="15">
        <v>14.423033040670333</v>
      </c>
    </row>
    <row r="42" spans="1:8" x14ac:dyDescent="0.3">
      <c r="A42" s="7">
        <v>16</v>
      </c>
      <c r="B42" s="25">
        <f t="shared" si="0"/>
        <v>25</v>
      </c>
      <c r="C42" s="25">
        <f t="shared" si="3"/>
        <v>14.417647792869687</v>
      </c>
      <c r="D42" s="28">
        <f t="shared" si="1"/>
        <v>1.8332584467119148E-2</v>
      </c>
      <c r="E42" s="28">
        <f t="shared" si="2"/>
        <v>0.29332135147390637</v>
      </c>
      <c r="G42" s="22">
        <v>1.4999999999999999E-2</v>
      </c>
      <c r="H42" s="15">
        <v>14.372701967933441</v>
      </c>
    </row>
    <row r="43" spans="1:8" x14ac:dyDescent="0.3">
      <c r="A43" s="7">
        <v>17</v>
      </c>
      <c r="B43" s="25">
        <f t="shared" si="0"/>
        <v>25</v>
      </c>
      <c r="C43" s="25">
        <f t="shared" si="3"/>
        <v>13.930094485864434</v>
      </c>
      <c r="D43" s="28">
        <f t="shared" si="1"/>
        <v>1.7712641997216571E-2</v>
      </c>
      <c r="E43" s="28">
        <f t="shared" si="2"/>
        <v>0.3011149139526817</v>
      </c>
      <c r="G43" s="22">
        <v>1.6E-2</v>
      </c>
      <c r="H43" s="15">
        <v>14.322224462276996</v>
      </c>
    </row>
    <row r="44" spans="1:8" x14ac:dyDescent="0.3">
      <c r="A44" s="7">
        <v>18</v>
      </c>
      <c r="B44" s="25">
        <f t="shared" si="0"/>
        <v>25</v>
      </c>
      <c r="C44" s="25">
        <f t="shared" si="3"/>
        <v>13.459028488757907</v>
      </c>
      <c r="D44" s="28">
        <f t="shared" si="1"/>
        <v>1.711366376542664E-2</v>
      </c>
      <c r="E44" s="28">
        <f t="shared" si="2"/>
        <v>0.30804594777767952</v>
      </c>
      <c r="G44" s="22">
        <v>1.7000000000000001E-2</v>
      </c>
      <c r="H44" s="15">
        <v>14.271602831851924</v>
      </c>
    </row>
    <row r="45" spans="1:8" x14ac:dyDescent="0.3">
      <c r="A45" s="7">
        <v>19</v>
      </c>
      <c r="B45" s="25">
        <f t="shared" si="0"/>
        <v>25</v>
      </c>
      <c r="C45" s="25">
        <f t="shared" si="3"/>
        <v>13.003892259669477</v>
      </c>
      <c r="D45" s="28">
        <f t="shared" si="1"/>
        <v>1.6534940836161006E-2</v>
      </c>
      <c r="E45" s="28">
        <f t="shared" si="2"/>
        <v>0.31416387588705913</v>
      </c>
      <c r="G45" s="22">
        <v>1.7999999999999999E-2</v>
      </c>
      <c r="H45" s="15">
        <v>14.220839430424595</v>
      </c>
    </row>
    <row r="46" spans="1:8" x14ac:dyDescent="0.3">
      <c r="A46" s="7">
        <v>20</v>
      </c>
      <c r="B46" s="25">
        <f t="shared" si="0"/>
        <v>25</v>
      </c>
      <c r="C46" s="25">
        <f t="shared" si="3"/>
        <v>12.564147110791765</v>
      </c>
      <c r="D46" s="28">
        <f t="shared" si="1"/>
        <v>1.5975788247498554E-2</v>
      </c>
      <c r="E46" s="28">
        <f t="shared" si="2"/>
        <v>0.31951576494997108</v>
      </c>
      <c r="G46" s="22">
        <v>1.9E-2</v>
      </c>
      <c r="H46" s="15">
        <v>14.169936657002145</v>
      </c>
    </row>
    <row r="47" spans="1:8" x14ac:dyDescent="0.3">
      <c r="A47" s="7">
        <v>21</v>
      </c>
      <c r="B47" s="25">
        <f t="shared" si="0"/>
        <v>25</v>
      </c>
      <c r="C47" s="25">
        <f t="shared" si="3"/>
        <v>12.139272570813302</v>
      </c>
      <c r="D47" s="28">
        <f t="shared" si="1"/>
        <v>1.54355442004817E-2</v>
      </c>
      <c r="E47" s="28">
        <f t="shared" si="2"/>
        <v>0.32414642821011569</v>
      </c>
      <c r="G47" s="22">
        <v>0.02</v>
      </c>
      <c r="H47" s="15">
        <v>14.118896955431779</v>
      </c>
    </row>
    <row r="48" spans="1:8" x14ac:dyDescent="0.3">
      <c r="A48" s="7">
        <v>22</v>
      </c>
      <c r="B48" s="25">
        <f t="shared" si="0"/>
        <v>25</v>
      </c>
      <c r="C48" s="25">
        <f t="shared" si="3"/>
        <v>11.728765768901741</v>
      </c>
      <c r="D48" s="28">
        <f t="shared" si="1"/>
        <v>1.4913569275827728E-2</v>
      </c>
      <c r="E48" s="28">
        <f t="shared" si="2"/>
        <v>0.32809852406821005</v>
      </c>
      <c r="G48" s="22">
        <v>2.1000000000000001E-2</v>
      </c>
      <c r="H48" s="15">
        <v>14.067722813973877</v>
      </c>
    </row>
    <row r="49" spans="1:8" x14ac:dyDescent="0.3">
      <c r="A49" s="7">
        <v>23</v>
      </c>
      <c r="B49" s="25">
        <f t="shared" si="0"/>
        <v>25</v>
      </c>
      <c r="C49" s="25">
        <f t="shared" si="3"/>
        <v>11.332140839518591</v>
      </c>
      <c r="D49" s="28">
        <f t="shared" si="1"/>
        <v>1.440924567712824E-2</v>
      </c>
      <c r="E49" s="28">
        <f t="shared" si="2"/>
        <v>0.33141265057394953</v>
      </c>
      <c r="G49" s="22">
        <v>2.1999999999999999E-2</v>
      </c>
      <c r="H49" s="15">
        <v>14.016416764849053</v>
      </c>
    </row>
    <row r="50" spans="1:8" x14ac:dyDescent="0.3">
      <c r="A50" s="7">
        <v>24</v>
      </c>
      <c r="B50" s="25">
        <f t="shared" si="0"/>
        <v>25</v>
      </c>
      <c r="C50" s="25">
        <f t="shared" si="3"/>
        <v>10.94892834736096</v>
      </c>
      <c r="D50" s="28">
        <f t="shared" si="1"/>
        <v>1.3921976499640816E-2</v>
      </c>
      <c r="E50" s="28">
        <f t="shared" si="2"/>
        <v>0.33412743599137956</v>
      </c>
      <c r="G50" s="22">
        <v>2.3E-2</v>
      </c>
      <c r="H50" s="15">
        <v>13.964981383759154</v>
      </c>
    </row>
    <row r="51" spans="1:8" x14ac:dyDescent="0.3">
      <c r="A51" s="7">
        <v>25</v>
      </c>
      <c r="B51" s="25">
        <f t="shared" si="0"/>
        <v>25</v>
      </c>
      <c r="C51" s="25">
        <f t="shared" si="3"/>
        <v>10.578674731749722</v>
      </c>
      <c r="D51" s="28">
        <f t="shared" si="1"/>
        <v>1.3451185023807554E-2</v>
      </c>
      <c r="E51" s="28">
        <f t="shared" si="2"/>
        <v>0.33627962559518887</v>
      </c>
      <c r="G51" s="22">
        <v>2.4E-2</v>
      </c>
      <c r="H51" s="15">
        <v>13.91341928938229</v>
      </c>
    </row>
    <row r="52" spans="1:8" x14ac:dyDescent="0.3">
      <c r="A52" s="7">
        <v>26</v>
      </c>
      <c r="B52" s="25">
        <f t="shared" si="0"/>
        <v>25</v>
      </c>
      <c r="C52" s="25">
        <f t="shared" si="3"/>
        <v>10.220941769806494</v>
      </c>
      <c r="D52" s="28">
        <f t="shared" si="1"/>
        <v>1.2996314032664302E-2</v>
      </c>
      <c r="E52" s="28">
        <f t="shared" si="2"/>
        <v>0.33790416484927183</v>
      </c>
      <c r="G52" s="22">
        <v>2.5000000000000001E-2</v>
      </c>
      <c r="H52" s="15">
        <v>13.861733142841711</v>
      </c>
    </row>
    <row r="53" spans="1:8" x14ac:dyDescent="0.3">
      <c r="A53" s="7">
        <v>27</v>
      </c>
      <c r="B53" s="25">
        <f t="shared" si="0"/>
        <v>25</v>
      </c>
      <c r="C53" s="25">
        <f t="shared" si="3"/>
        <v>9.8753060577840515</v>
      </c>
      <c r="D53" s="28">
        <f t="shared" si="1"/>
        <v>1.2556825152332659E-2</v>
      </c>
      <c r="E53" s="28">
        <f t="shared" si="2"/>
        <v>0.33903427911298178</v>
      </c>
      <c r="G53" s="22">
        <v>2.5999999999999999E-2</v>
      </c>
      <c r="H53" s="15">
        <v>13.809925647149099</v>
      </c>
    </row>
    <row r="54" spans="1:8" x14ac:dyDescent="0.3">
      <c r="A54" s="7">
        <v>28</v>
      </c>
      <c r="B54" s="25">
        <f t="shared" si="0"/>
        <v>25</v>
      </c>
      <c r="C54" s="25">
        <f t="shared" si="3"/>
        <v>9.5413585099362823</v>
      </c>
      <c r="D54" s="28">
        <f t="shared" si="1"/>
        <v>1.2132198214814163E-2</v>
      </c>
      <c r="E54" s="28">
        <f t="shared" si="2"/>
        <v>0.33970155001479657</v>
      </c>
      <c r="G54" s="22">
        <v>2.7E-2</v>
      </c>
      <c r="H54" s="15">
        <v>13.757999546621964</v>
      </c>
    </row>
    <row r="55" spans="1:8" x14ac:dyDescent="0.3">
      <c r="A55" s="7">
        <v>29</v>
      </c>
      <c r="B55" s="25">
        <f t="shared" si="0"/>
        <v>25</v>
      </c>
      <c r="C55" s="25">
        <f t="shared" si="3"/>
        <v>9.2187038743345742</v>
      </c>
      <c r="D55" s="28">
        <f t="shared" si="1"/>
        <v>1.1721930642332528E-2</v>
      </c>
      <c r="E55" s="28">
        <f t="shared" si="2"/>
        <v>0.33993598862764329</v>
      </c>
      <c r="G55" s="22">
        <v>2.8000000000000001E-2</v>
      </c>
      <c r="H55" s="15">
        <v>13.705957626275671</v>
      </c>
    </row>
    <row r="56" spans="1:8" x14ac:dyDescent="0.3">
      <c r="A56" s="7">
        <v>30</v>
      </c>
      <c r="B56" s="25">
        <f t="shared" si="0"/>
        <v>25</v>
      </c>
      <c r="C56" s="25">
        <f t="shared" si="3"/>
        <v>8.9069602650575597</v>
      </c>
      <c r="D56" s="28">
        <f t="shared" si="1"/>
        <v>1.1325536852495197E-2</v>
      </c>
      <c r="E56" s="28">
        <f t="shared" si="2"/>
        <v>0.33976610557485587</v>
      </c>
      <c r="G56" s="22">
        <v>2.9000000000000001E-2</v>
      </c>
      <c r="H56" s="15">
        <v>13.653802711189822</v>
      </c>
    </row>
    <row r="57" spans="1:8" x14ac:dyDescent="0.3">
      <c r="A57" s="7">
        <v>31</v>
      </c>
      <c r="B57" s="25">
        <f t="shared" si="0"/>
        <v>25</v>
      </c>
      <c r="C57" s="25">
        <f t="shared" si="3"/>
        <v>8.6057587102005417</v>
      </c>
      <c r="D57" s="28">
        <f t="shared" si="1"/>
        <v>1.0942547683570239E-2</v>
      </c>
      <c r="E57" s="28">
        <f t="shared" si="2"/>
        <v>0.33921897819067742</v>
      </c>
      <c r="G57" s="22">
        <v>0.03</v>
      </c>
      <c r="H57" s="15">
        <v>13.601537665849719</v>
      </c>
    </row>
    <row r="58" spans="1:8" x14ac:dyDescent="0.3">
      <c r="A58" s="7">
        <v>32</v>
      </c>
      <c r="B58" s="25">
        <f t="shared" si="0"/>
        <v>25</v>
      </c>
      <c r="C58" s="25">
        <f t="shared" si="3"/>
        <v>8.3147427151696061</v>
      </c>
      <c r="D58" s="28">
        <f t="shared" si="1"/>
        <v>1.05725098391983E-2</v>
      </c>
      <c r="E58" s="28">
        <f t="shared" si="2"/>
        <v>0.33832031485434561</v>
      </c>
      <c r="G58" s="22">
        <v>3.1E-2</v>
      </c>
      <c r="H58" s="15">
        <v>13.549165393462742</v>
      </c>
    </row>
    <row r="59" spans="1:8" x14ac:dyDescent="0.3">
      <c r="A59" s="7">
        <v>33</v>
      </c>
      <c r="B59" s="25">
        <f t="shared" si="0"/>
        <v>25</v>
      </c>
      <c r="C59" s="25">
        <f t="shared" si="3"/>
        <v>8.0335678407435811</v>
      </c>
      <c r="D59" s="28">
        <f t="shared" si="1"/>
        <v>1.0214985351882415E-2</v>
      </c>
      <c r="E59" s="28">
        <f t="shared" si="2"/>
        <v>0.3370945166121197</v>
      </c>
      <c r="G59" s="22">
        <v>3.2000000000000001E-2</v>
      </c>
      <c r="H59" s="15">
        <v>13.496688835250181</v>
      </c>
    </row>
    <row r="60" spans="1:8" x14ac:dyDescent="0.3">
      <c r="A60" s="7">
        <v>34</v>
      </c>
      <c r="B60" s="25">
        <f t="shared" si="0"/>
        <v>25</v>
      </c>
      <c r="C60" s="25">
        <f t="shared" si="3"/>
        <v>7.761901295404428</v>
      </c>
      <c r="D60" s="28">
        <f t="shared" si="1"/>
        <v>9.8695510646206932E-3</v>
      </c>
      <c r="E60" s="28">
        <f t="shared" si="2"/>
        <v>0.33556473619710359</v>
      </c>
      <c r="G60" s="22">
        <v>3.3000000000000002E-2</v>
      </c>
      <c r="H60" s="15">
        <v>13.444110969714446</v>
      </c>
    </row>
    <row r="61" spans="1:8" x14ac:dyDescent="0.3">
      <c r="A61" s="7">
        <v>35</v>
      </c>
      <c r="B61" s="25">
        <f t="shared" si="0"/>
        <v>25</v>
      </c>
      <c r="C61" s="25">
        <f t="shared" si="3"/>
        <v>7.499421541453553</v>
      </c>
      <c r="D61" s="28">
        <f t="shared" si="1"/>
        <v>9.5357981300683015E-3</v>
      </c>
      <c r="E61" s="28">
        <f t="shared" si="2"/>
        <v>0.33375293455239052</v>
      </c>
      <c r="G61" s="22">
        <v>3.4000000000000002E-2</v>
      </c>
      <c r="H61" s="15">
        <v>13.391434811882416</v>
      </c>
    </row>
    <row r="62" spans="1:8" x14ac:dyDescent="0.3">
      <c r="A62" s="7">
        <v>36</v>
      </c>
      <c r="B62" s="25">
        <f t="shared" si="0"/>
        <v>25</v>
      </c>
      <c r="C62" s="25">
        <f t="shared" si="3"/>
        <v>7.2458179144478789</v>
      </c>
      <c r="D62" s="28">
        <f t="shared" si="1"/>
        <v>9.213331526636042E-3</v>
      </c>
      <c r="E62" s="28">
        <f t="shared" si="2"/>
        <v>0.33167993495889753</v>
      </c>
      <c r="G62" s="22">
        <v>3.5000000000000003E-2</v>
      </c>
      <c r="H62" s="15">
        <v>13.338663412524893</v>
      </c>
    </row>
    <row r="63" spans="1:8" x14ac:dyDescent="0.3">
      <c r="A63" s="7">
        <v>37</v>
      </c>
      <c r="B63" s="25">
        <f t="shared" si="0"/>
        <v>25</v>
      </c>
      <c r="C63" s="25">
        <f t="shared" si="3"/>
        <v>7.0007902555051977</v>
      </c>
      <c r="D63" s="28">
        <f t="shared" si="1"/>
        <v>8.9017695909526986E-3</v>
      </c>
      <c r="E63" s="28">
        <f t="shared" si="2"/>
        <v>0.32936547486524986</v>
      </c>
      <c r="G63" s="22">
        <v>3.5999999999999997E-2</v>
      </c>
      <c r="H63" s="15">
        <v>13.285799857352815</v>
      </c>
    </row>
    <row r="64" spans="1:8" x14ac:dyDescent="0.3">
      <c r="A64" s="7">
        <v>38</v>
      </c>
      <c r="B64" s="25">
        <f t="shared" si="0"/>
        <v>25</v>
      </c>
      <c r="C64" s="25">
        <f t="shared" si="3"/>
        <v>6.7640485560436687</v>
      </c>
      <c r="D64" s="28">
        <f t="shared" si="1"/>
        <v>8.6007435661378737E-3</v>
      </c>
      <c r="E64" s="28">
        <f t="shared" si="2"/>
        <v>0.32682825551323919</v>
      </c>
      <c r="G64" s="22">
        <v>3.6999999999999998E-2</v>
      </c>
      <c r="H64" s="15">
        <v>13.232847266190207</v>
      </c>
    </row>
    <row r="65" spans="1:8" x14ac:dyDescent="0.3">
      <c r="A65" s="7">
        <v>39</v>
      </c>
      <c r="B65" s="25">
        <f t="shared" si="0"/>
        <v>25</v>
      </c>
      <c r="C65" s="25">
        <f t="shared" si="3"/>
        <v>6.5353126145349467</v>
      </c>
      <c r="D65" s="28">
        <f t="shared" si="1"/>
        <v>8.3098971653506031E-3</v>
      </c>
      <c r="E65" s="28">
        <f t="shared" si="2"/>
        <v>0.32408598944867351</v>
      </c>
      <c r="G65" s="22">
        <v>3.7999999999999999E-2</v>
      </c>
      <c r="H65" s="15">
        <v>13.179808792124806</v>
      </c>
    </row>
    <row r="66" spans="1:8" x14ac:dyDescent="0.3">
      <c r="A66" s="7">
        <v>40</v>
      </c>
      <c r="B66" s="25">
        <f t="shared" si="0"/>
        <v>25</v>
      </c>
      <c r="C66" s="25">
        <f t="shared" si="3"/>
        <v>6.314311704864684</v>
      </c>
      <c r="D66" s="28">
        <f t="shared" si="1"/>
        <v>8.0288861500972027E-3</v>
      </c>
      <c r="E66" s="28">
        <f t="shared" si="2"/>
        <v>0.32115544600388812</v>
      </c>
      <c r="G66" s="22">
        <v>3.9E-2</v>
      </c>
      <c r="H66" s="15">
        <v>13.126687620636334</v>
      </c>
    </row>
    <row r="67" spans="1:8" x14ac:dyDescent="0.3">
      <c r="A67" s="7">
        <v>40</v>
      </c>
      <c r="B67" s="23">
        <f>B7</f>
        <v>1000</v>
      </c>
      <c r="C67" s="25">
        <f t="shared" si="3"/>
        <v>252.57246819458734</v>
      </c>
      <c r="D67" s="28">
        <f t="shared" si="1"/>
        <v>0.32115544600388807</v>
      </c>
      <c r="E67" s="28">
        <f t="shared" si="2"/>
        <v>12.846217840155523</v>
      </c>
      <c r="G67" s="22">
        <v>0.04</v>
      </c>
      <c r="H67" s="15">
        <v>13.0734869687033</v>
      </c>
    </row>
    <row r="68" spans="1:8" x14ac:dyDescent="0.3">
      <c r="G68" s="22">
        <v>4.1000000000000002E-2</v>
      </c>
      <c r="H68" s="15">
        <v>13.020210083888273</v>
      </c>
    </row>
    <row r="69" spans="1:8" x14ac:dyDescent="0.3">
      <c r="G69" s="22">
        <v>4.2000000000000003E-2</v>
      </c>
      <c r="H69" s="15">
        <v>12.966860243402717</v>
      </c>
    </row>
    <row r="70" spans="1:8" x14ac:dyDescent="0.3">
      <c r="G70" s="22">
        <v>4.2999999999999997E-2</v>
      </c>
      <c r="H70" s="15">
        <v>12.913440753151539</v>
      </c>
    </row>
    <row r="71" spans="1:8" x14ac:dyDescent="0.3">
      <c r="G71" s="22">
        <v>4.3999999999999997E-2</v>
      </c>
      <c r="H71" s="15">
        <v>12.859954946758148</v>
      </c>
    </row>
    <row r="72" spans="1:8" x14ac:dyDescent="0.3">
      <c r="G72" s="22">
        <v>4.4999999999999998E-2</v>
      </c>
      <c r="H72" s="15">
        <v>12.806406184570262</v>
      </c>
    </row>
    <row r="73" spans="1:8" x14ac:dyDescent="0.3">
      <c r="G73" s="22">
        <v>4.5999999999999999E-2</v>
      </c>
      <c r="H73" s="15">
        <v>12.752797852647483</v>
      </c>
    </row>
    <row r="74" spans="1:8" x14ac:dyDescent="0.3">
      <c r="G74" s="22">
        <v>4.7E-2</v>
      </c>
      <c r="H74" s="15">
        <v>12.699133361730937</v>
      </c>
    </row>
    <row r="75" spans="1:8" x14ac:dyDescent="0.3">
      <c r="G75" s="22">
        <v>4.8000000000000001E-2</v>
      </c>
      <c r="H75" s="15">
        <v>12.645416146195959</v>
      </c>
    </row>
    <row r="76" spans="1:8" x14ac:dyDescent="0.3">
      <c r="G76" s="22">
        <v>4.9000000000000002E-2</v>
      </c>
      <c r="H76" s="15">
        <v>12.591649662987917</v>
      </c>
    </row>
    <row r="77" spans="1:8" x14ac:dyDescent="0.3">
      <c r="G77" s="22">
        <v>0.05</v>
      </c>
      <c r="H77" s="15">
        <v>12.537837390542551</v>
      </c>
    </row>
    <row r="78" spans="1:8" x14ac:dyDescent="0.3">
      <c r="G78" s="22">
        <v>5.0999999999999997E-2</v>
      </c>
      <c r="H78" s="15">
        <v>12.483982827691005</v>
      </c>
    </row>
    <row r="79" spans="1:8" x14ac:dyDescent="0.3">
      <c r="G79" s="22">
        <v>5.1999999999999998E-2</v>
      </c>
      <c r="H79" s="15">
        <v>12.430089492550625</v>
      </c>
    </row>
    <row r="80" spans="1:8" x14ac:dyDescent="0.3">
      <c r="G80" s="22">
        <v>5.2999999999999999E-2</v>
      </c>
      <c r="H80" s="15">
        <v>12.376160921401857</v>
      </c>
    </row>
    <row r="81" spans="7:8" x14ac:dyDescent="0.3">
      <c r="G81" s="22">
        <v>5.3999999999999999E-2</v>
      </c>
      <c r="H81" s="15">
        <v>12.322200667552471</v>
      </c>
    </row>
    <row r="82" spans="7:8" x14ac:dyDescent="0.3">
      <c r="G82" s="22">
        <v>5.5E-2</v>
      </c>
      <c r="H82" s="15">
        <v>12.268212300189514</v>
      </c>
    </row>
    <row r="83" spans="7:8" x14ac:dyDescent="0.3">
      <c r="G83" s="22">
        <v>5.6000000000000001E-2</v>
      </c>
      <c r="H83" s="15">
        <v>12.214199403220052</v>
      </c>
    </row>
    <row r="84" spans="7:8" x14ac:dyDescent="0.3">
      <c r="G84" s="22">
        <v>5.7000000000000002E-2</v>
      </c>
      <c r="H84" s="15">
        <v>12.160165574101086</v>
      </c>
    </row>
    <row r="85" spans="7:8" x14ac:dyDescent="0.3">
      <c r="G85" s="22">
        <v>5.8000000000000003E-2</v>
      </c>
      <c r="H85" s="15">
        <v>12.106114422660047</v>
      </c>
    </row>
    <row r="86" spans="7:8" x14ac:dyDescent="0.3">
      <c r="G86" s="22">
        <v>5.8999999999999997E-2</v>
      </c>
      <c r="H86" s="15">
        <v>12.052049569906123</v>
      </c>
    </row>
    <row r="87" spans="7:8" x14ac:dyDescent="0.3">
      <c r="G87" s="22">
        <v>0.06</v>
      </c>
      <c r="H87" s="15">
        <v>11.997974646833695</v>
      </c>
    </row>
    <row r="88" spans="7:8" x14ac:dyDescent="0.3">
      <c r="G88" s="22">
        <v>6.0999999999999999E-2</v>
      </c>
      <c r="H88" s="15">
        <v>11.943893293218327</v>
      </c>
    </row>
    <row r="89" spans="7:8" x14ac:dyDescent="0.3">
      <c r="G89" s="22">
        <v>6.2E-2</v>
      </c>
      <c r="H89" s="15">
        <v>11.889809156406509</v>
      </c>
    </row>
    <row r="90" spans="7:8" x14ac:dyDescent="0.3">
      <c r="G90" s="22">
        <v>6.3E-2</v>
      </c>
      <c r="H90" s="15">
        <v>11.835725890099802</v>
      </c>
    </row>
    <row r="91" spans="7:8" x14ac:dyDescent="0.3">
      <c r="G91" s="22">
        <v>6.4000000000000001E-2</v>
      </c>
      <c r="H91" s="15">
        <v>11.781647153134426</v>
      </c>
    </row>
    <row r="92" spans="7:8" x14ac:dyDescent="0.3">
      <c r="G92" s="22">
        <v>6.5000000000000002E-2</v>
      </c>
      <c r="H92" s="15">
        <v>11.727576608256838</v>
      </c>
    </row>
    <row r="93" spans="7:8" x14ac:dyDescent="0.3">
      <c r="G93" s="22">
        <v>6.6000000000000003E-2</v>
      </c>
      <c r="H93" s="15">
        <v>11.673517920896607</v>
      </c>
    </row>
    <row r="94" spans="7:8" x14ac:dyDescent="0.3">
      <c r="G94" s="22">
        <v>6.7000000000000004E-2</v>
      </c>
      <c r="H94" s="15">
        <v>11.619474757937127</v>
      </c>
    </row>
    <row r="95" spans="7:8" x14ac:dyDescent="0.3">
      <c r="G95" s="22">
        <v>6.8000000000000005E-2</v>
      </c>
      <c r="H95" s="15">
        <v>11.565450786485366</v>
      </c>
    </row>
    <row r="96" spans="7:8" x14ac:dyDescent="0.3">
      <c r="G96" s="22">
        <v>6.9000000000000006E-2</v>
      </c>
      <c r="H96" s="15">
        <v>11.511449672640994</v>
      </c>
    </row>
    <row r="97" spans="7:8" x14ac:dyDescent="0.3">
      <c r="G97" s="22">
        <v>7.0000000000000007E-2</v>
      </c>
      <c r="H97" s="15">
        <v>11.45747508026653</v>
      </c>
    </row>
    <row r="98" spans="7:8" x14ac:dyDescent="0.3">
      <c r="G98" s="22">
        <v>7.0999999999999994E-2</v>
      </c>
      <c r="H98" s="15">
        <v>11.4035306697587</v>
      </c>
    </row>
    <row r="99" spans="7:8" x14ac:dyDescent="0.3">
      <c r="G99" s="22">
        <v>7.1999999999999995E-2</v>
      </c>
      <c r="H99" s="15">
        <v>11.349620096822452</v>
      </c>
    </row>
    <row r="100" spans="7:8" x14ac:dyDescent="0.3">
      <c r="G100" s="22">
        <v>7.2999999999999995E-2</v>
      </c>
      <c r="H100" s="15">
        <v>11.295747011247895</v>
      </c>
    </row>
    <row r="101" spans="7:8" x14ac:dyDescent="0.3">
      <c r="G101" s="22">
        <v>7.3999999999999996E-2</v>
      </c>
      <c r="H101" s="15">
        <v>11.24191505569172</v>
      </c>
    </row>
    <row r="102" spans="7:8" x14ac:dyDescent="0.3">
      <c r="G102" s="22">
        <v>7.4999999999999997E-2</v>
      </c>
      <c r="H102" s="15">
        <v>11.188127864463393</v>
      </c>
    </row>
    <row r="103" spans="7:8" x14ac:dyDescent="0.3">
      <c r="G103" s="22">
        <v>7.5999999999999998E-2</v>
      </c>
      <c r="H103" s="15">
        <v>11.134389062317483</v>
      </c>
    </row>
    <row r="104" spans="7:8" x14ac:dyDescent="0.3">
      <c r="G104" s="22">
        <v>7.6999999999999999E-2</v>
      </c>
      <c r="H104" s="15">
        <v>11.08070226325237</v>
      </c>
    </row>
    <row r="105" spans="7:8" x14ac:dyDescent="0.3">
      <c r="G105" s="22">
        <v>7.8E-2</v>
      </c>
      <c r="H105" s="15">
        <v>11.027071069316881</v>
      </c>
    </row>
    <row r="106" spans="7:8" x14ac:dyDescent="0.3">
      <c r="G106" s="22">
        <v>7.9000000000000001E-2</v>
      </c>
      <c r="H106" s="15">
        <v>10.973499069425142</v>
      </c>
    </row>
    <row r="107" spans="7:8" x14ac:dyDescent="0.3">
      <c r="G107" s="22">
        <v>0.08</v>
      </c>
      <c r="H107" s="15">
        <v>10.919989838180872</v>
      </c>
    </row>
    <row r="108" spans="7:8" x14ac:dyDescent="0.3">
      <c r="G108" s="22">
        <v>8.1000000000000003E-2</v>
      </c>
      <c r="H108" s="15">
        <v>10.866546934711479</v>
      </c>
    </row>
    <row r="109" spans="7:8" x14ac:dyDescent="0.3">
      <c r="G109" s="22">
        <v>8.2000000000000003E-2</v>
      </c>
      <c r="H109" s="15">
        <v>10.813173901513307</v>
      </c>
    </row>
    <row r="110" spans="7:8" x14ac:dyDescent="0.3">
      <c r="G110" s="22">
        <v>8.3000000000000004E-2</v>
      </c>
      <c r="H110" s="15">
        <v>10.759874263308392</v>
      </c>
    </row>
    <row r="111" spans="7:8" x14ac:dyDescent="0.3">
      <c r="G111" s="22">
        <v>8.4000000000000005E-2</v>
      </c>
      <c r="H111" s="15">
        <v>10.7066515259138</v>
      </c>
    </row>
    <row r="112" spans="7:8" x14ac:dyDescent="0.3">
      <c r="G112" s="22">
        <v>8.5000000000000006E-2</v>
      </c>
      <c r="H112" s="15">
        <v>10.653509175124</v>
      </c>
    </row>
    <row r="113" spans="7:8" x14ac:dyDescent="0.3">
      <c r="G113" s="22">
        <v>8.5999999999999993E-2</v>
      </c>
      <c r="H113" s="15">
        <v>10.600450675607391</v>
      </c>
    </row>
    <row r="114" spans="7:8" x14ac:dyDescent="0.3">
      <c r="G114" s="22">
        <v>8.6999999999999994E-2</v>
      </c>
      <c r="H114" s="15">
        <v>10.54747946981734</v>
      </c>
    </row>
    <row r="115" spans="7:8" x14ac:dyDescent="0.3">
      <c r="G115" s="22">
        <v>8.7999999999999995E-2</v>
      </c>
      <c r="H115" s="15">
        <v>10.494598976918899</v>
      </c>
    </row>
    <row r="116" spans="7:8" x14ac:dyDescent="0.3">
      <c r="G116" s="22">
        <v>8.8999999999999996E-2</v>
      </c>
      <c r="H116" s="15">
        <v>10.441812591731265</v>
      </c>
    </row>
    <row r="117" spans="7:8" x14ac:dyDescent="0.3">
      <c r="G117" s="22">
        <v>0.09</v>
      </c>
      <c r="H117" s="15">
        <v>10.3891236836873</v>
      </c>
    </row>
    <row r="118" spans="7:8" x14ac:dyDescent="0.3">
      <c r="G118" s="22">
        <v>9.0999999999999998E-2</v>
      </c>
      <c r="H118" s="15">
        <v>10.336535595810366</v>
      </c>
    </row>
    <row r="119" spans="7:8" x14ac:dyDescent="0.3">
      <c r="G119" s="22">
        <v>9.1999999999999998E-2</v>
      </c>
      <c r="H119" s="15">
        <v>10.284051643709331</v>
      </c>
    </row>
    <row r="120" spans="7:8" x14ac:dyDescent="0.3">
      <c r="G120" s="22">
        <v>9.2999999999999999E-2</v>
      </c>
      <c r="H120" s="15">
        <v>10.231675114592067</v>
      </c>
    </row>
    <row r="121" spans="7:8" x14ac:dyDescent="0.3">
      <c r="G121" s="22">
        <v>9.4E-2</v>
      </c>
      <c r="H121" s="15">
        <v>10.179409266298421</v>
      </c>
    </row>
    <row r="122" spans="7:8" x14ac:dyDescent="0.3">
      <c r="G122" s="22">
        <v>9.5000000000000001E-2</v>
      </c>
      <c r="H122" s="15">
        <v>10.127257326352938</v>
      </c>
    </row>
    <row r="123" spans="7:8" x14ac:dyDescent="0.3">
      <c r="G123" s="22">
        <v>9.6000000000000002E-2</v>
      </c>
      <c r="H123" s="15">
        <v>10.07522249103808</v>
      </c>
    </row>
    <row r="124" spans="7:8" x14ac:dyDescent="0.3">
      <c r="G124" s="22">
        <v>9.7000000000000003E-2</v>
      </c>
      <c r="H124" s="15">
        <v>10.02330792448816</v>
      </c>
    </row>
    <row r="125" spans="7:8" x14ac:dyDescent="0.3">
      <c r="G125" s="22">
        <v>9.8000000000000004E-2</v>
      </c>
      <c r="H125" s="15">
        <v>9.9715167578049204</v>
      </c>
    </row>
    <row r="126" spans="7:8" x14ac:dyDescent="0.3">
      <c r="G126" s="22">
        <v>9.9000000000000005E-2</v>
      </c>
      <c r="H126" s="15">
        <v>9.9198520881948919</v>
      </c>
    </row>
    <row r="127" spans="7:8" x14ac:dyDescent="0.3">
      <c r="G127" s="22">
        <v>0.1</v>
      </c>
      <c r="H127" s="15">
        <v>9.8683169781291991</v>
      </c>
    </row>
  </sheetData>
  <mergeCells count="3">
    <mergeCell ref="A14:B14"/>
    <mergeCell ref="A18:B18"/>
    <mergeCell ref="G26:G27"/>
  </mergeCells>
  <phoneticPr fontId="2"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moveWithCells="1" siz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4102" r:id="rId5" name="Spinner 6">
              <controlPr defaultSize="0" autoPict="0">
                <anchor moveWithCells="1" sizeWithCells="1">
                  <from>
                    <xdr:col>2</xdr:col>
                    <xdr:colOff>0</xdr:colOff>
                    <xdr:row>3</xdr:row>
                    <xdr:rowOff>0</xdr:rowOff>
                  </from>
                  <to>
                    <xdr:col>3</xdr:col>
                    <xdr:colOff>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BE629-EB45-4EF0-9747-75B12D5EBE69}">
  <sheetPr codeName="Sheet4"/>
  <dimension ref="A1:F85"/>
  <sheetViews>
    <sheetView workbookViewId="0">
      <selection activeCell="D3" sqref="D3"/>
    </sheetView>
  </sheetViews>
  <sheetFormatPr defaultRowHeight="16.5" x14ac:dyDescent="0.3"/>
  <cols>
    <col min="1" max="1" width="49.625" bestFit="1" customWidth="1"/>
    <col min="2" max="2" width="19.875" bestFit="1" customWidth="1"/>
    <col min="3" max="3" width="10.5" bestFit="1" customWidth="1"/>
    <col min="4" max="4" width="19.25" bestFit="1" customWidth="1"/>
  </cols>
  <sheetData>
    <row r="1" spans="1:4" x14ac:dyDescent="0.3"/>
    <row r="3" spans="1:4" x14ac:dyDescent="0.3">
      <c r="A3" s="2" t="s">
        <v>50</v>
      </c>
      <c r="B3" s="3">
        <f>D3/1000</f>
        <v>0.03</v>
      </c>
      <c r="D3" s="7">
        <v>30</v>
      </c>
    </row>
    <row r="4" spans="1:4" x14ac:dyDescent="0.3">
      <c r="A4" s="2" t="s">
        <v>49</v>
      </c>
      <c r="B4" s="3">
        <f>D4/1000</f>
        <v>0.06</v>
      </c>
      <c r="D4" s="7">
        <v>60</v>
      </c>
    </row>
    <row r="5" spans="1:4" x14ac:dyDescent="0.3">
      <c r="A5" s="1" t="s">
        <v>53</v>
      </c>
      <c r="B5" s="7">
        <v>10</v>
      </c>
    </row>
    <row r="6" spans="1:4" x14ac:dyDescent="0.3">
      <c r="A6" s="1" t="s">
        <v>51</v>
      </c>
      <c r="B6" s="7">
        <v>2</v>
      </c>
    </row>
    <row r="7" spans="1:4" x14ac:dyDescent="0.3">
      <c r="A7" s="1" t="s">
        <v>52</v>
      </c>
      <c r="B7" s="20">
        <v>1000</v>
      </c>
    </row>
    <row r="9" spans="1:4" x14ac:dyDescent="0.3">
      <c r="A9" s="2" t="s">
        <v>54</v>
      </c>
      <c r="B9" s="3">
        <f>B4/B6</f>
        <v>0.03</v>
      </c>
    </row>
    <row r="10" spans="1:4" x14ac:dyDescent="0.3">
      <c r="A10" s="2" t="s">
        <v>55</v>
      </c>
      <c r="B10" s="25">
        <f>B7*B3/B6</f>
        <v>15</v>
      </c>
    </row>
    <row r="11" spans="1:4" x14ac:dyDescent="0.3">
      <c r="A11" s="2" t="s">
        <v>19</v>
      </c>
      <c r="B11" s="35">
        <f>B5/B6</f>
        <v>5</v>
      </c>
    </row>
    <row r="12" spans="1:4" x14ac:dyDescent="0.3">
      <c r="A12" s="36"/>
      <c r="B12" s="36"/>
    </row>
    <row r="13" spans="1:4" x14ac:dyDescent="0.3">
      <c r="A13" s="2" t="s">
        <v>45</v>
      </c>
      <c r="B13" s="28">
        <f>((1+B9)/(B9*B6)-(1+B9+B5*(B3/B6-B9))/(B3*((1+B9)^B5-1)+B9*B6))</f>
        <v>4.6519995088129242</v>
      </c>
    </row>
    <row r="14" spans="1:4" x14ac:dyDescent="0.3">
      <c r="A14" s="2" t="s">
        <v>46</v>
      </c>
      <c r="B14" s="28">
        <f>B13/(1+B9)</f>
        <v>4.5165043774882756</v>
      </c>
    </row>
    <row r="16" spans="1:4" x14ac:dyDescent="0.3">
      <c r="A16" s="1" t="s">
        <v>56</v>
      </c>
      <c r="B16" s="29">
        <f ca="1">TODAY()</f>
        <v>44176</v>
      </c>
      <c r="D16" s="42"/>
    </row>
    <row r="17" spans="1:6" x14ac:dyDescent="0.3">
      <c r="A17" s="2" t="s">
        <v>48</v>
      </c>
      <c r="B17" s="37">
        <f ca="1">B16+365*B11</f>
        <v>46001</v>
      </c>
    </row>
    <row r="18" spans="1:6" x14ac:dyDescent="0.3">
      <c r="A18" s="2" t="s">
        <v>29</v>
      </c>
      <c r="B18" s="28">
        <f ca="1">DURATION(B16,B17,B3,B4,B6)</f>
        <v>4.6492217310351478</v>
      </c>
    </row>
    <row r="19" spans="1:6" x14ac:dyDescent="0.3">
      <c r="A19" s="2" t="s">
        <v>46</v>
      </c>
      <c r="B19" s="28">
        <f ca="1">MDURATION(B16,B17,B3,B4,B6)</f>
        <v>4.5138075058593667</v>
      </c>
    </row>
    <row r="23" spans="1:6" x14ac:dyDescent="0.3">
      <c r="B23" s="50" t="s">
        <v>16</v>
      </c>
      <c r="C23" s="2" t="s">
        <v>47</v>
      </c>
      <c r="D23" s="50" t="s">
        <v>18</v>
      </c>
    </row>
    <row r="24" spans="1:6" ht="17.25" thickBot="1" x14ac:dyDescent="0.35">
      <c r="B24" s="59"/>
      <c r="C24" s="40">
        <f>B14</f>
        <v>4.5165043774882756</v>
      </c>
      <c r="D24" s="50"/>
    </row>
    <row r="25" spans="1:6" x14ac:dyDescent="0.3">
      <c r="B25" s="18">
        <v>60</v>
      </c>
      <c r="C25" s="41">
        <f t="dataTable" ref="C25:C85" dt2D="0" dtr="0" r1="B5"/>
        <v>16.056196261220578</v>
      </c>
      <c r="D25" s="39">
        <f>B25/$B$6</f>
        <v>30</v>
      </c>
    </row>
    <row r="26" spans="1:6" x14ac:dyDescent="0.3">
      <c r="B26" s="38">
        <f>B25-1</f>
        <v>59</v>
      </c>
      <c r="C26" s="28">
        <v>15.968369861623309</v>
      </c>
      <c r="D26" s="39">
        <f>B26/$B$6</f>
        <v>29.5</v>
      </c>
    </row>
    <row r="27" spans="1:6" x14ac:dyDescent="0.3">
      <c r="B27" s="38">
        <f>B26-1</f>
        <v>58</v>
      </c>
      <c r="C27" s="28">
        <v>15.876543562638608</v>
      </c>
      <c r="D27" s="39">
        <f t="shared" ref="D27:D85" si="0">B27/$B$6</f>
        <v>29</v>
      </c>
    </row>
    <row r="28" spans="1:6" x14ac:dyDescent="0.3">
      <c r="B28" s="38">
        <f t="shared" ref="B28:B85" si="1">B27-1</f>
        <v>57</v>
      </c>
      <c r="C28" s="28">
        <v>15.780599822582571</v>
      </c>
      <c r="D28" s="39">
        <f t="shared" si="0"/>
        <v>28.5</v>
      </c>
    </row>
    <row r="29" spans="1:6" x14ac:dyDescent="0.3">
      <c r="B29" s="38">
        <f t="shared" si="1"/>
        <v>56</v>
      </c>
      <c r="C29" s="28">
        <v>15.680419843457139</v>
      </c>
      <c r="D29" s="39">
        <f t="shared" si="0"/>
        <v>28</v>
      </c>
    </row>
    <row r="30" spans="1:6" x14ac:dyDescent="0.3">
      <c r="B30" s="38">
        <f t="shared" si="1"/>
        <v>55</v>
      </c>
      <c r="C30" s="28">
        <v>15.575883679841505</v>
      </c>
      <c r="D30" s="39">
        <f t="shared" si="0"/>
        <v>27.5</v>
      </c>
    </row>
    <row r="31" spans="1:6" x14ac:dyDescent="0.3">
      <c r="B31" s="38">
        <f t="shared" si="1"/>
        <v>54</v>
      </c>
      <c r="C31" s="28">
        <v>15.466870355538727</v>
      </c>
      <c r="D31" s="39">
        <f t="shared" si="0"/>
        <v>27</v>
      </c>
    </row>
    <row r="32" spans="1:6" x14ac:dyDescent="0.3">
      <c r="B32" s="38">
        <f t="shared" si="1"/>
        <v>53</v>
      </c>
      <c r="C32" s="28">
        <v>15.353257988067913</v>
      </c>
      <c r="D32" s="39">
        <f t="shared" si="0"/>
        <v>26.5</v>
      </c>
    </row>
    <row r="33" spans="2:4" x14ac:dyDescent="0.3">
      <c r="B33" s="38">
        <f t="shared" si="1"/>
        <v>52</v>
      </c>
      <c r="C33" s="28">
        <v>15.234923921066832</v>
      </c>
      <c r="D33" s="39">
        <f t="shared" si="0"/>
        <v>26</v>
      </c>
    </row>
    <row r="34" spans="2:4" x14ac:dyDescent="0.3">
      <c r="B34" s="38">
        <f t="shared" si="1"/>
        <v>51</v>
      </c>
      <c r="C34" s="28">
        <v>15.111744864641935</v>
      </c>
      <c r="D34" s="39">
        <f t="shared" si="0"/>
        <v>25.5</v>
      </c>
    </row>
    <row r="35" spans="2:4" x14ac:dyDescent="0.3">
      <c r="B35" s="38">
        <f t="shared" si="1"/>
        <v>50</v>
      </c>
      <c r="C35" s="28">
        <v>14.98359704367291</v>
      </c>
      <c r="D35" s="39">
        <f t="shared" si="0"/>
        <v>25</v>
      </c>
    </row>
    <row r="36" spans="2:4" x14ac:dyDescent="0.3">
      <c r="B36" s="38">
        <f t="shared" si="1"/>
        <v>49</v>
      </c>
      <c r="C36" s="28">
        <v>14.850356354046637</v>
      </c>
      <c r="D36" s="39">
        <f t="shared" si="0"/>
        <v>24.5</v>
      </c>
    </row>
    <row r="37" spans="2:4" x14ac:dyDescent="0.3">
      <c r="B37" s="38">
        <f t="shared" si="1"/>
        <v>48</v>
      </c>
      <c r="C37" s="28">
        <v>14.711898526761349</v>
      </c>
      <c r="D37" s="39">
        <f t="shared" si="0"/>
        <v>24</v>
      </c>
    </row>
    <row r="38" spans="2:4" x14ac:dyDescent="0.3">
      <c r="B38" s="38">
        <f t="shared" si="1"/>
        <v>47</v>
      </c>
      <c r="C38" s="28">
        <v>14.56809929980545</v>
      </c>
      <c r="D38" s="39">
        <f t="shared" si="0"/>
        <v>23.5</v>
      </c>
    </row>
    <row r="39" spans="2:4" x14ac:dyDescent="0.3">
      <c r="B39" s="38">
        <f t="shared" si="1"/>
        <v>46</v>
      </c>
      <c r="C39" s="28">
        <v>14.418834597677304</v>
      </c>
      <c r="D39" s="39">
        <f t="shared" si="0"/>
        <v>23</v>
      </c>
    </row>
    <row r="40" spans="2:4" x14ac:dyDescent="0.3">
      <c r="B40" s="38">
        <f t="shared" si="1"/>
        <v>45</v>
      </c>
      <c r="C40" s="28">
        <v>14.263980718372274</v>
      </c>
      <c r="D40" s="39">
        <f t="shared" si="0"/>
        <v>22.5</v>
      </c>
    </row>
    <row r="41" spans="2:4" x14ac:dyDescent="0.3">
      <c r="B41" s="38">
        <f t="shared" si="1"/>
        <v>44</v>
      </c>
      <c r="C41" s="28">
        <v>14.103414527621561</v>
      </c>
      <c r="D41" s="39">
        <f t="shared" si="0"/>
        <v>22</v>
      </c>
    </row>
    <row r="42" spans="2:4" x14ac:dyDescent="0.3">
      <c r="B42" s="38">
        <f t="shared" si="1"/>
        <v>43</v>
      </c>
      <c r="C42" s="28">
        <v>13.937013660124126</v>
      </c>
      <c r="D42" s="39">
        <f t="shared" si="0"/>
        <v>21.5</v>
      </c>
    </row>
    <row r="43" spans="2:4" x14ac:dyDescent="0.3">
      <c r="B43" s="38">
        <f t="shared" si="1"/>
        <v>42</v>
      </c>
      <c r="C43" s="28">
        <v>13.764656727468399</v>
      </c>
      <c r="D43" s="39">
        <f t="shared" si="0"/>
        <v>21</v>
      </c>
    </row>
    <row r="44" spans="2:4" x14ac:dyDescent="0.3">
      <c r="B44" s="38">
        <f t="shared" si="1"/>
        <v>41</v>
      </c>
      <c r="C44" s="28">
        <v>13.586223532394715</v>
      </c>
      <c r="D44" s="39">
        <f t="shared" si="0"/>
        <v>20.5</v>
      </c>
    </row>
    <row r="45" spans="2:4" x14ac:dyDescent="0.3">
      <c r="B45" s="38">
        <f t="shared" si="1"/>
        <v>40</v>
      </c>
      <c r="C45" s="28">
        <v>13.401595289002772</v>
      </c>
      <c r="D45" s="39">
        <f t="shared" si="0"/>
        <v>20</v>
      </c>
    </row>
    <row r="46" spans="2:4" x14ac:dyDescent="0.3">
      <c r="B46" s="38">
        <f t="shared" si="1"/>
        <v>39</v>
      </c>
      <c r="C46" s="28">
        <v>13.210654848461191</v>
      </c>
      <c r="D46" s="39">
        <f t="shared" si="0"/>
        <v>19.5</v>
      </c>
    </row>
    <row r="47" spans="2:4" x14ac:dyDescent="0.3">
      <c r="B47" s="38">
        <f t="shared" si="1"/>
        <v>38</v>
      </c>
      <c r="C47" s="28">
        <v>13.013286929728569</v>
      </c>
      <c r="D47" s="39">
        <f t="shared" si="0"/>
        <v>19</v>
      </c>
    </row>
    <row r="48" spans="2:4" x14ac:dyDescent="0.3">
      <c r="B48" s="38">
        <f t="shared" si="1"/>
        <v>37</v>
      </c>
      <c r="C48" s="28">
        <v>12.809378354747912</v>
      </c>
      <c r="D48" s="39">
        <f t="shared" si="0"/>
        <v>18.5</v>
      </c>
    </row>
    <row r="49" spans="2:4" x14ac:dyDescent="0.3">
      <c r="B49" s="38">
        <f t="shared" si="1"/>
        <v>36</v>
      </c>
      <c r="C49" s="28">
        <v>12.598818287528903</v>
      </c>
      <c r="D49" s="39">
        <f t="shared" si="0"/>
        <v>18</v>
      </c>
    </row>
    <row r="50" spans="2:4" x14ac:dyDescent="0.3">
      <c r="B50" s="38">
        <f t="shared" si="1"/>
        <v>35</v>
      </c>
      <c r="C50" s="28">
        <v>12.381498476485948</v>
      </c>
      <c r="D50" s="39">
        <f t="shared" si="0"/>
        <v>17.5</v>
      </c>
    </row>
    <row r="51" spans="2:4" x14ac:dyDescent="0.3">
      <c r="B51" s="38">
        <f t="shared" si="1"/>
        <v>34</v>
      </c>
      <c r="C51" s="28">
        <v>12.157313499354295</v>
      </c>
      <c r="D51" s="39">
        <f t="shared" si="0"/>
        <v>17</v>
      </c>
    </row>
    <row r="52" spans="2:4" x14ac:dyDescent="0.3">
      <c r="B52" s="38">
        <f t="shared" si="1"/>
        <v>33</v>
      </c>
      <c r="C52" s="28">
        <v>11.926161009962447</v>
      </c>
      <c r="D52" s="39">
        <f t="shared" si="0"/>
        <v>16.5</v>
      </c>
    </row>
    <row r="53" spans="2:4" x14ac:dyDescent="0.3">
      <c r="B53" s="38">
        <f t="shared" si="1"/>
        <v>32</v>
      </c>
      <c r="C53" s="28">
        <v>11.687941986096835</v>
      </c>
      <c r="D53" s="39">
        <f t="shared" si="0"/>
        <v>16</v>
      </c>
    </row>
    <row r="54" spans="2:4" x14ac:dyDescent="0.3">
      <c r="B54" s="38">
        <f t="shared" si="1"/>
        <v>31</v>
      </c>
      <c r="C54" s="28">
        <v>11.442560977654752</v>
      </c>
      <c r="D54" s="39">
        <f t="shared" si="0"/>
        <v>15.5</v>
      </c>
    </row>
    <row r="55" spans="2:4" x14ac:dyDescent="0.3">
      <c r="B55" s="38">
        <f t="shared" si="1"/>
        <v>30</v>
      </c>
      <c r="C55" s="28">
        <v>11.189926354244264</v>
      </c>
      <c r="D55" s="39">
        <f t="shared" si="0"/>
        <v>15</v>
      </c>
    </row>
    <row r="56" spans="2:4" x14ac:dyDescent="0.3">
      <c r="B56" s="38">
        <f t="shared" si="1"/>
        <v>29</v>
      </c>
      <c r="C56" s="28">
        <v>10.929950551355759</v>
      </c>
      <c r="D56" s="39">
        <f t="shared" si="0"/>
        <v>14.5</v>
      </c>
    </row>
    <row r="57" spans="2:4" x14ac:dyDescent="0.3">
      <c r="B57" s="38">
        <f t="shared" si="1"/>
        <v>28</v>
      </c>
      <c r="C57" s="28">
        <v>10.662550314199152</v>
      </c>
      <c r="D57" s="39">
        <f t="shared" si="0"/>
        <v>14</v>
      </c>
    </row>
    <row r="58" spans="2:4" x14ac:dyDescent="0.3">
      <c r="B58" s="38">
        <f t="shared" si="1"/>
        <v>27</v>
      </c>
      <c r="C58" s="28">
        <v>10.387646938274287</v>
      </c>
      <c r="D58" s="39">
        <f t="shared" si="0"/>
        <v>13.5</v>
      </c>
    </row>
    <row r="59" spans="2:4" x14ac:dyDescent="0.3">
      <c r="B59" s="38">
        <f t="shared" si="1"/>
        <v>26</v>
      </c>
      <c r="C59" s="28">
        <v>10.105166505719806</v>
      </c>
      <c r="D59" s="39">
        <f t="shared" si="0"/>
        <v>13</v>
      </c>
    </row>
    <row r="60" spans="2:4" x14ac:dyDescent="0.3">
      <c r="B60" s="38">
        <f t="shared" si="1"/>
        <v>25</v>
      </c>
      <c r="C60" s="28">
        <v>9.8150401164683974</v>
      </c>
      <c r="D60" s="39">
        <f t="shared" si="0"/>
        <v>12.5</v>
      </c>
    </row>
    <row r="61" spans="2:4" x14ac:dyDescent="0.3">
      <c r="B61" s="38">
        <f t="shared" si="1"/>
        <v>24</v>
      </c>
      <c r="C61" s="28">
        <v>9.517204113224043</v>
      </c>
      <c r="D61" s="39">
        <f t="shared" si="0"/>
        <v>12</v>
      </c>
    </row>
    <row r="62" spans="2:4" x14ac:dyDescent="0.3">
      <c r="B62" s="38">
        <f t="shared" si="1"/>
        <v>23</v>
      </c>
      <c r="C62" s="28">
        <v>9.2116002992701098</v>
      </c>
      <c r="D62" s="39">
        <f t="shared" si="0"/>
        <v>11.5</v>
      </c>
    </row>
    <row r="63" spans="2:4" x14ac:dyDescent="0.3">
      <c r="B63" s="38">
        <f t="shared" si="1"/>
        <v>22</v>
      </c>
      <c r="C63" s="28">
        <v>8.8981761481161215</v>
      </c>
      <c r="D63" s="39">
        <f t="shared" si="0"/>
        <v>11</v>
      </c>
    </row>
    <row r="64" spans="2:4" x14ac:dyDescent="0.3">
      <c r="B64" s="38">
        <f t="shared" si="1"/>
        <v>21</v>
      </c>
      <c r="C64" s="28">
        <v>8.5768850039960505</v>
      </c>
      <c r="D64" s="39">
        <f t="shared" si="0"/>
        <v>10.5</v>
      </c>
    </row>
    <row r="65" spans="2:4" x14ac:dyDescent="0.3">
      <c r="B65" s="38">
        <f t="shared" si="1"/>
        <v>20</v>
      </c>
      <c r="C65" s="28">
        <v>8.2476862722423281</v>
      </c>
      <c r="D65" s="39">
        <f t="shared" si="0"/>
        <v>10</v>
      </c>
    </row>
    <row r="66" spans="2:4" x14ac:dyDescent="0.3">
      <c r="B66" s="38">
        <f t="shared" si="1"/>
        <v>19</v>
      </c>
      <c r="C66" s="28">
        <v>7.9105455985774631</v>
      </c>
      <c r="D66" s="39">
        <f t="shared" si="0"/>
        <v>9.5</v>
      </c>
    </row>
    <row r="67" spans="2:4" x14ac:dyDescent="0.3">
      <c r="B67" s="38">
        <f t="shared" si="1"/>
        <v>18</v>
      </c>
      <c r="C67" s="28">
        <v>7.5654350363894745</v>
      </c>
      <c r="D67" s="39">
        <f t="shared" si="0"/>
        <v>9</v>
      </c>
    </row>
    <row r="68" spans="2:4" x14ac:dyDescent="0.3">
      <c r="B68" s="38">
        <f t="shared" si="1"/>
        <v>17</v>
      </c>
      <c r="C68" s="28">
        <v>7.2123332010882359</v>
      </c>
      <c r="D68" s="39">
        <f t="shared" si="0"/>
        <v>8.5</v>
      </c>
    </row>
    <row r="69" spans="2:4" x14ac:dyDescent="0.3">
      <c r="B69" s="38">
        <f t="shared" si="1"/>
        <v>16</v>
      </c>
      <c r="C69" s="28">
        <v>6.8512254106773742</v>
      </c>
      <c r="D69" s="39">
        <f t="shared" si="0"/>
        <v>8</v>
      </c>
    </row>
    <row r="70" spans="2:4" x14ac:dyDescent="0.3">
      <c r="B70" s="38">
        <f t="shared" si="1"/>
        <v>15</v>
      </c>
      <c r="C70" s="28">
        <v>6.4821038117203713</v>
      </c>
      <c r="D70" s="39">
        <f t="shared" si="0"/>
        <v>7.5</v>
      </c>
    </row>
    <row r="71" spans="2:4" x14ac:dyDescent="0.3">
      <c r="B71" s="38">
        <f t="shared" si="1"/>
        <v>14</v>
      </c>
      <c r="C71" s="28">
        <v>6.1049674899301065</v>
      </c>
      <c r="D71" s="39">
        <f t="shared" si="0"/>
        <v>7</v>
      </c>
    </row>
    <row r="72" spans="2:4" x14ac:dyDescent="0.3">
      <c r="B72" s="38">
        <f t="shared" si="1"/>
        <v>13</v>
      </c>
      <c r="C72" s="28">
        <v>5.7198225646677061</v>
      </c>
      <c r="D72" s="39">
        <f t="shared" si="0"/>
        <v>6.5</v>
      </c>
    </row>
    <row r="73" spans="2:4" x14ac:dyDescent="0.3">
      <c r="B73" s="38">
        <f t="shared" si="1"/>
        <v>12</v>
      </c>
      <c r="C73" s="28">
        <v>5.3266822666992732</v>
      </c>
      <c r="D73" s="39">
        <f t="shared" si="0"/>
        <v>6</v>
      </c>
    </row>
    <row r="74" spans="2:4" x14ac:dyDescent="0.3">
      <c r="B74" s="38">
        <f t="shared" si="1"/>
        <v>11</v>
      </c>
      <c r="C74" s="28">
        <v>4.9255669986274624</v>
      </c>
      <c r="D74" s="39">
        <f t="shared" si="0"/>
        <v>5.5</v>
      </c>
    </row>
    <row r="75" spans="2:4" x14ac:dyDescent="0.3">
      <c r="B75" s="38">
        <f t="shared" si="1"/>
        <v>10</v>
      </c>
      <c r="C75" s="28">
        <v>4.5165043774882756</v>
      </c>
      <c r="D75" s="39">
        <f t="shared" si="0"/>
        <v>5</v>
      </c>
    </row>
    <row r="76" spans="2:4" x14ac:dyDescent="0.3">
      <c r="B76" s="38">
        <f t="shared" si="1"/>
        <v>9</v>
      </c>
      <c r="C76" s="28">
        <v>4.0995292590820549</v>
      </c>
      <c r="D76" s="39">
        <f t="shared" si="0"/>
        <v>4.5</v>
      </c>
    </row>
    <row r="77" spans="2:4" x14ac:dyDescent="0.3">
      <c r="B77" s="38">
        <f t="shared" si="1"/>
        <v>8</v>
      </c>
      <c r="C77" s="28">
        <v>3.6746837436900308</v>
      </c>
      <c r="D77" s="39">
        <f t="shared" si="0"/>
        <v>4</v>
      </c>
    </row>
    <row r="78" spans="2:4" x14ac:dyDescent="0.3">
      <c r="B78" s="38">
        <f t="shared" si="1"/>
        <v>7</v>
      </c>
      <c r="C78" s="28">
        <v>3.2420171629143928</v>
      </c>
      <c r="D78" s="39">
        <f t="shared" si="0"/>
        <v>3.5</v>
      </c>
    </row>
    <row r="79" spans="2:4" x14ac:dyDescent="0.3">
      <c r="B79" s="38">
        <f t="shared" si="1"/>
        <v>6</v>
      </c>
      <c r="C79" s="28">
        <v>2.8015860474691547</v>
      </c>
      <c r="D79" s="39">
        <f t="shared" si="0"/>
        <v>3</v>
      </c>
    </row>
    <row r="80" spans="2:4" x14ac:dyDescent="0.3">
      <c r="B80" s="38">
        <f t="shared" si="1"/>
        <v>5</v>
      </c>
      <c r="C80" s="28">
        <v>2.3534540758411286</v>
      </c>
      <c r="D80" s="39">
        <f t="shared" si="0"/>
        <v>2.5</v>
      </c>
    </row>
    <row r="81" spans="2:4" x14ac:dyDescent="0.3">
      <c r="B81" s="38">
        <f t="shared" si="1"/>
        <v>4</v>
      </c>
      <c r="C81" s="28">
        <v>1.8976920038339138</v>
      </c>
      <c r="D81" s="39">
        <f t="shared" si="0"/>
        <v>2</v>
      </c>
    </row>
    <row r="82" spans="2:4" x14ac:dyDescent="0.3">
      <c r="B82" s="38">
        <f t="shared" si="1"/>
        <v>3</v>
      </c>
      <c r="C82" s="28">
        <v>1.4343775751025576</v>
      </c>
      <c r="D82" s="39">
        <f t="shared" si="0"/>
        <v>1.5</v>
      </c>
    </row>
    <row r="83" spans="2:4" x14ac:dyDescent="0.3">
      <c r="B83" s="38">
        <f t="shared" si="1"/>
        <v>2</v>
      </c>
      <c r="C83" s="28">
        <v>0.96359541288163586</v>
      </c>
      <c r="D83" s="39">
        <f t="shared" si="0"/>
        <v>1</v>
      </c>
    </row>
    <row r="84" spans="2:4" x14ac:dyDescent="0.3">
      <c r="B84" s="38">
        <f t="shared" si="1"/>
        <v>1</v>
      </c>
      <c r="C84" s="28">
        <v>0.48543689320388006</v>
      </c>
      <c r="D84" s="39">
        <f t="shared" si="0"/>
        <v>0.5</v>
      </c>
    </row>
    <row r="85" spans="2:4" x14ac:dyDescent="0.3">
      <c r="B85" s="38">
        <f t="shared" si="1"/>
        <v>0</v>
      </c>
      <c r="C85" s="28">
        <v>0</v>
      </c>
      <c r="D85" s="39">
        <f t="shared" si="0"/>
        <v>0</v>
      </c>
    </row>
  </sheetData>
  <mergeCells count="2">
    <mergeCell ref="B23:B24"/>
    <mergeCell ref="D23:D24"/>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Spinner 2">
              <controlPr defaultSize="0" autoPict="0">
                <anchor moveWithCells="1" siz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6147" r:id="rId4" name="Spinner 3">
              <controlPr defaultSize="0" autoPict="0">
                <anchor moveWithCells="1" sizeWithCells="1">
                  <from>
                    <xdr:col>2</xdr:col>
                    <xdr:colOff>0</xdr:colOff>
                    <xdr:row>3</xdr:row>
                    <xdr:rowOff>0</xdr:rowOff>
                  </from>
                  <to>
                    <xdr:col>3</xdr:col>
                    <xdr:colOff>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373F-CBF3-4AC5-B24D-EFFD5F402017}">
  <sheetPr codeName="Sheet5"/>
  <dimension ref="A1:G7"/>
  <sheetViews>
    <sheetView workbookViewId="0">
      <selection activeCell="D12" sqref="D12"/>
    </sheetView>
  </sheetViews>
  <sheetFormatPr defaultRowHeight="16.5" x14ac:dyDescent="0.3"/>
  <cols>
    <col min="1" max="1" width="29" bestFit="1" customWidth="1"/>
    <col min="2" max="2" width="8.5" bestFit="1" customWidth="1"/>
    <col min="3" max="3" width="14.125" bestFit="1" customWidth="1"/>
  </cols>
  <sheetData>
    <row r="1" spans="1:7" x14ac:dyDescent="0.3">
      <c r="A1" s="1" t="s">
        <v>38</v>
      </c>
      <c r="B1" s="7">
        <v>1000</v>
      </c>
      <c r="C1" s="35" t="s">
        <v>67</v>
      </c>
    </row>
    <row r="2" spans="1:7" x14ac:dyDescent="0.3">
      <c r="A2" s="1" t="s">
        <v>39</v>
      </c>
      <c r="B2" s="47">
        <v>30</v>
      </c>
    </row>
    <row r="3" spans="1:7" x14ac:dyDescent="0.3">
      <c r="A3" s="1" t="s">
        <v>40</v>
      </c>
      <c r="B3" s="22">
        <v>4.8000000000000001E-2</v>
      </c>
    </row>
    <row r="4" spans="1:7" x14ac:dyDescent="0.3">
      <c r="A4" s="1" t="s">
        <v>41</v>
      </c>
      <c r="B4" s="7">
        <v>984</v>
      </c>
    </row>
    <row r="5" spans="1:7" x14ac:dyDescent="0.3">
      <c r="A5" s="1" t="s">
        <v>42</v>
      </c>
      <c r="B5" s="7">
        <v>3</v>
      </c>
    </row>
    <row r="6" spans="1:7" x14ac:dyDescent="0.3">
      <c r="A6" s="2" t="s">
        <v>43</v>
      </c>
      <c r="B6" s="33">
        <v>4.9020000000000001E-2</v>
      </c>
      <c r="G6" s="44"/>
    </row>
    <row r="7" spans="1:7" x14ac:dyDescent="0.3">
      <c r="A7" s="2" t="s">
        <v>44</v>
      </c>
      <c r="B7" s="34">
        <v>15.981</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eston_YieldToMaturity">
                <anchor moveWithCells="1" sizeWithCells="1">
                  <from>
                    <xdr:col>2</xdr:col>
                    <xdr:colOff>0</xdr:colOff>
                    <xdr:row>5</xdr:row>
                    <xdr:rowOff>0</xdr:rowOff>
                  </from>
                  <to>
                    <xdr:col>4</xdr:col>
                    <xdr:colOff>0</xdr:colOff>
                    <xdr:row>6</xdr:row>
                    <xdr:rowOff>0</xdr:rowOff>
                  </to>
                </anchor>
              </controlPr>
            </control>
          </mc:Choice>
        </mc:AlternateContent>
        <mc:AlternateContent xmlns:mc="http://schemas.openxmlformats.org/markup-compatibility/2006">
          <mc:Choice Requires="x14">
            <control shapeId="5122" r:id="rId5" name="Button 2">
              <controlPr defaultSize="0" print="0" autoFill="0" autoPict="0" macro="[0]!Teston_MacDur">
                <anchor moveWithCells="1" sizeWithCells="1">
                  <from>
                    <xdr:col>2</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5123" r:id="rId6" name="Button 3">
              <controlPr defaultSize="0" print="0" autoFill="0" autoPict="0" macro="[0]!채권_정보가져오기_원본">
                <anchor moveWithCells="1">
                  <from>
                    <xdr:col>3</xdr:col>
                    <xdr:colOff>0</xdr:colOff>
                    <xdr:row>0</xdr:row>
                    <xdr:rowOff>0</xdr:rowOff>
                  </from>
                  <to>
                    <xdr:col>4</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E2ED-675B-42ED-AF8D-75720060FC7F}">
  <sheetPr codeName="Sheet6"/>
  <dimension ref="A1:B117"/>
  <sheetViews>
    <sheetView tabSelected="1" topLeftCell="A28" workbookViewId="0">
      <selection activeCell="A109" sqref="A109:A117"/>
    </sheetView>
  </sheetViews>
  <sheetFormatPr defaultRowHeight="16.5" x14ac:dyDescent="0.3"/>
  <cols>
    <col min="1" max="1" width="18.375" bestFit="1" customWidth="1"/>
    <col min="2" max="2" width="29.375" bestFit="1" customWidth="1"/>
    <col min="3" max="3" width="18.375" bestFit="1" customWidth="1"/>
    <col min="4" max="4" width="2.5" bestFit="1" customWidth="1"/>
    <col min="5" max="5" width="18.375" bestFit="1" customWidth="1"/>
    <col min="6" max="6" width="2.5" bestFit="1" customWidth="1"/>
    <col min="7" max="7" width="18.375" bestFit="1" customWidth="1"/>
    <col min="8" max="8" width="2.5" bestFit="1" customWidth="1"/>
    <col min="9" max="9" width="18.375" bestFit="1" customWidth="1"/>
    <col min="10" max="10" width="2.5" bestFit="1" customWidth="1"/>
    <col min="11" max="11" width="18.375" bestFit="1" customWidth="1"/>
    <col min="12" max="12" width="2.5" bestFit="1" customWidth="1"/>
    <col min="13" max="13" width="18.375" bestFit="1" customWidth="1"/>
    <col min="14" max="14" width="2.5" bestFit="1" customWidth="1"/>
    <col min="15" max="15" width="18.375" bestFit="1" customWidth="1"/>
    <col min="16" max="16" width="2.5" bestFit="1" customWidth="1"/>
  </cols>
  <sheetData>
    <row r="1" spans="1:2" x14ac:dyDescent="0.3">
      <c r="A1" t="s">
        <v>68</v>
      </c>
    </row>
    <row r="3" spans="1:2" x14ac:dyDescent="0.3">
      <c r="A3" t="s">
        <v>69</v>
      </c>
    </row>
    <row r="5" spans="1:2" x14ac:dyDescent="0.3">
      <c r="A5" t="s">
        <v>69</v>
      </c>
    </row>
    <row r="6" spans="1:2" x14ac:dyDescent="0.3">
      <c r="A6" t="s">
        <v>70</v>
      </c>
      <c r="B6" t="s">
        <v>148</v>
      </c>
    </row>
    <row r="7" spans="1:2" x14ac:dyDescent="0.3">
      <c r="A7" t="s">
        <v>71</v>
      </c>
      <c r="B7" t="s">
        <v>149</v>
      </c>
    </row>
    <row r="8" spans="1:2" x14ac:dyDescent="0.3">
      <c r="A8" t="s">
        <v>72</v>
      </c>
      <c r="B8" t="s">
        <v>67</v>
      </c>
    </row>
    <row r="9" spans="1:2" x14ac:dyDescent="0.3">
      <c r="A9" t="s">
        <v>73</v>
      </c>
      <c r="B9" t="s">
        <v>150</v>
      </c>
    </row>
    <row r="10" spans="1:2" x14ac:dyDescent="0.3">
      <c r="A10" t="s">
        <v>74</v>
      </c>
      <c r="B10" t="s">
        <v>151</v>
      </c>
    </row>
    <row r="11" spans="1:2" x14ac:dyDescent="0.3">
      <c r="A11" t="s">
        <v>75</v>
      </c>
      <c r="B11" t="s">
        <v>152</v>
      </c>
    </row>
    <row r="12" spans="1:2" x14ac:dyDescent="0.3">
      <c r="A12" t="s">
        <v>76</v>
      </c>
      <c r="B12" s="42">
        <v>43738</v>
      </c>
    </row>
    <row r="13" spans="1:2" x14ac:dyDescent="0.3">
      <c r="A13" t="s">
        <v>77</v>
      </c>
      <c r="B13" s="42">
        <v>54696</v>
      </c>
    </row>
    <row r="14" spans="1:2" x14ac:dyDescent="0.3">
      <c r="A14" t="s">
        <v>78</v>
      </c>
      <c r="B14" s="42">
        <v>43738</v>
      </c>
    </row>
    <row r="15" spans="1:2" x14ac:dyDescent="0.3">
      <c r="A15" t="s">
        <v>79</v>
      </c>
    </row>
    <row r="16" spans="1:2" x14ac:dyDescent="0.3">
      <c r="A16" t="s">
        <v>80</v>
      </c>
    </row>
    <row r="17" spans="1:2" x14ac:dyDescent="0.3">
      <c r="A17" t="s">
        <v>81</v>
      </c>
      <c r="B17" t="s">
        <v>153</v>
      </c>
    </row>
    <row r="19" spans="1:2" x14ac:dyDescent="0.3">
      <c r="A19" t="s">
        <v>82</v>
      </c>
    </row>
    <row r="21" spans="1:2" x14ac:dyDescent="0.3">
      <c r="A21" t="s">
        <v>82</v>
      </c>
    </row>
    <row r="22" spans="1:2" x14ac:dyDescent="0.3">
      <c r="A22" t="s">
        <v>83</v>
      </c>
      <c r="B22" t="s">
        <v>154</v>
      </c>
    </row>
    <row r="23" spans="1:2" x14ac:dyDescent="0.3">
      <c r="A23" t="s">
        <v>84</v>
      </c>
      <c r="B23">
        <v>4.8</v>
      </c>
    </row>
    <row r="24" spans="1:2" x14ac:dyDescent="0.3">
      <c r="A24" t="s">
        <v>85</v>
      </c>
      <c r="B24">
        <v>0</v>
      </c>
    </row>
    <row r="25" spans="1:2" x14ac:dyDescent="0.3">
      <c r="A25" t="s">
        <v>86</v>
      </c>
      <c r="B25">
        <v>3</v>
      </c>
    </row>
    <row r="26" spans="1:2" x14ac:dyDescent="0.3">
      <c r="A26" t="s">
        <v>87</v>
      </c>
      <c r="B26" t="s">
        <v>76</v>
      </c>
    </row>
    <row r="27" spans="1:2" x14ac:dyDescent="0.3">
      <c r="A27" t="s">
        <v>88</v>
      </c>
      <c r="B27" t="s">
        <v>155</v>
      </c>
    </row>
    <row r="28" spans="1:2" x14ac:dyDescent="0.3">
      <c r="A28" t="s">
        <v>89</v>
      </c>
      <c r="B28" s="42">
        <v>44104</v>
      </c>
    </row>
    <row r="29" spans="1:2" x14ac:dyDescent="0.3">
      <c r="A29" t="s">
        <v>90</v>
      </c>
      <c r="B29" s="42">
        <v>44195</v>
      </c>
    </row>
    <row r="30" spans="1:2" x14ac:dyDescent="0.3">
      <c r="A30" t="s">
        <v>91</v>
      </c>
    </row>
    <row r="31" spans="1:2" x14ac:dyDescent="0.3">
      <c r="A31" t="s">
        <v>92</v>
      </c>
      <c r="B31" s="45">
        <v>70000</v>
      </c>
    </row>
    <row r="32" spans="1:2" x14ac:dyDescent="0.3">
      <c r="A32" t="s">
        <v>93</v>
      </c>
      <c r="B32" s="45">
        <v>69999</v>
      </c>
    </row>
    <row r="33" spans="1:2" x14ac:dyDescent="0.3">
      <c r="A33" t="s">
        <v>94</v>
      </c>
      <c r="B33" t="s">
        <v>156</v>
      </c>
    </row>
    <row r="35" spans="1:2" x14ac:dyDescent="0.3">
      <c r="A35" t="s">
        <v>95</v>
      </c>
    </row>
    <row r="37" spans="1:2" x14ac:dyDescent="0.3">
      <c r="A37" t="s">
        <v>96</v>
      </c>
    </row>
    <row r="38" spans="1:2" x14ac:dyDescent="0.3">
      <c r="A38" t="s">
        <v>97</v>
      </c>
    </row>
    <row r="39" spans="1:2" x14ac:dyDescent="0.3">
      <c r="A39" t="s">
        <v>98</v>
      </c>
      <c r="B39" t="s">
        <v>157</v>
      </c>
    </row>
    <row r="40" spans="1:2" x14ac:dyDescent="0.3">
      <c r="A40" t="s">
        <v>99</v>
      </c>
    </row>
    <row r="41" spans="1:2" x14ac:dyDescent="0.3">
      <c r="A41" t="s">
        <v>100</v>
      </c>
      <c r="B41" t="s">
        <v>157</v>
      </c>
    </row>
    <row r="42" spans="1:2" x14ac:dyDescent="0.3">
      <c r="A42" t="s">
        <v>101</v>
      </c>
      <c r="B42" t="s">
        <v>158</v>
      </c>
    </row>
    <row r="44" spans="1:2" x14ac:dyDescent="0.3">
      <c r="A44" t="s">
        <v>102</v>
      </c>
    </row>
    <row r="46" spans="1:2" x14ac:dyDescent="0.3">
      <c r="A46" t="s">
        <v>102</v>
      </c>
    </row>
    <row r="47" spans="1:2" x14ac:dyDescent="0.3">
      <c r="A47" t="s">
        <v>103</v>
      </c>
      <c r="B47" s="45">
        <v>7980</v>
      </c>
    </row>
    <row r="48" spans="1:2" x14ac:dyDescent="0.3">
      <c r="A48" t="s">
        <v>104</v>
      </c>
      <c r="B48" t="s">
        <v>159</v>
      </c>
    </row>
    <row r="49" spans="1:2" x14ac:dyDescent="0.3">
      <c r="A49" t="s">
        <v>105</v>
      </c>
    </row>
    <row r="50" spans="1:2" x14ac:dyDescent="0.3">
      <c r="A50" t="s">
        <v>106</v>
      </c>
      <c r="B50" t="s">
        <v>160</v>
      </c>
    </row>
    <row r="51" spans="1:2" x14ac:dyDescent="0.3">
      <c r="A51" t="s">
        <v>107</v>
      </c>
      <c r="B51" t="s">
        <v>161</v>
      </c>
    </row>
    <row r="52" spans="1:2" x14ac:dyDescent="0.3">
      <c r="A52" t="s">
        <v>108</v>
      </c>
      <c r="B52" t="s">
        <v>162</v>
      </c>
    </row>
    <row r="54" spans="1:2" x14ac:dyDescent="0.3">
      <c r="A54" t="s">
        <v>109</v>
      </c>
    </row>
    <row r="56" spans="1:2" x14ac:dyDescent="0.3">
      <c r="A56" t="s">
        <v>109</v>
      </c>
    </row>
    <row r="57" spans="1:2" x14ac:dyDescent="0.3">
      <c r="A57" t="s">
        <v>110</v>
      </c>
      <c r="B57" t="s">
        <v>163</v>
      </c>
    </row>
    <row r="58" spans="1:2" x14ac:dyDescent="0.3">
      <c r="B58" t="s">
        <v>164</v>
      </c>
    </row>
    <row r="59" spans="1:2" x14ac:dyDescent="0.3">
      <c r="A59" t="s">
        <v>111</v>
      </c>
      <c r="B59" t="s">
        <v>163</v>
      </c>
    </row>
    <row r="60" spans="1:2" x14ac:dyDescent="0.3">
      <c r="B60" t="s">
        <v>164</v>
      </c>
    </row>
    <row r="62" spans="1:2" x14ac:dyDescent="0.3">
      <c r="A62" t="s">
        <v>112</v>
      </c>
    </row>
    <row r="64" spans="1:2" x14ac:dyDescent="0.3">
      <c r="A64" t="s">
        <v>112</v>
      </c>
    </row>
    <row r="65" spans="1:2" x14ac:dyDescent="0.3">
      <c r="A65" t="s">
        <v>113</v>
      </c>
      <c r="B65" t="s">
        <v>165</v>
      </c>
    </row>
    <row r="66" spans="1:2" x14ac:dyDescent="0.3">
      <c r="A66" t="s">
        <v>114</v>
      </c>
      <c r="B66">
        <v>4.8</v>
      </c>
    </row>
    <row r="67" spans="1:2" x14ac:dyDescent="0.3">
      <c r="A67" t="s">
        <v>115</v>
      </c>
      <c r="B67">
        <v>100</v>
      </c>
    </row>
    <row r="68" spans="1:2" x14ac:dyDescent="0.3">
      <c r="A68" t="s">
        <v>116</v>
      </c>
      <c r="B68" t="s">
        <v>166</v>
      </c>
    </row>
    <row r="69" spans="1:2" x14ac:dyDescent="0.3">
      <c r="A69" t="s">
        <v>117</v>
      </c>
      <c r="B69" s="45">
        <v>27000</v>
      </c>
    </row>
    <row r="70" spans="1:2" x14ac:dyDescent="0.3">
      <c r="A70" t="s">
        <v>118</v>
      </c>
      <c r="B70">
        <v>100</v>
      </c>
    </row>
    <row r="72" spans="1:2" x14ac:dyDescent="0.3">
      <c r="A72" t="s">
        <v>119</v>
      </c>
    </row>
    <row r="74" spans="1:2" x14ac:dyDescent="0.3">
      <c r="A74" t="s">
        <v>119</v>
      </c>
    </row>
    <row r="75" spans="1:2" x14ac:dyDescent="0.3">
      <c r="A75" t="s">
        <v>120</v>
      </c>
      <c r="B75" t="s">
        <v>167</v>
      </c>
    </row>
    <row r="76" spans="1:2" x14ac:dyDescent="0.3">
      <c r="A76" t="s">
        <v>121</v>
      </c>
    </row>
    <row r="77" spans="1:2" x14ac:dyDescent="0.3">
      <c r="A77" t="s">
        <v>122</v>
      </c>
    </row>
    <row r="79" spans="1:2" x14ac:dyDescent="0.3">
      <c r="A79" t="s">
        <v>123</v>
      </c>
    </row>
    <row r="81" spans="1:2" x14ac:dyDescent="0.3">
      <c r="A81" t="s">
        <v>123</v>
      </c>
    </row>
    <row r="82" spans="1:2" x14ac:dyDescent="0.3">
      <c r="A82" t="s">
        <v>124</v>
      </c>
    </row>
    <row r="83" spans="1:2" x14ac:dyDescent="0.3">
      <c r="A83" t="s">
        <v>125</v>
      </c>
    </row>
    <row r="84" spans="1:2" x14ac:dyDescent="0.3">
      <c r="A84" t="s">
        <v>126</v>
      </c>
    </row>
    <row r="85" spans="1:2" x14ac:dyDescent="0.3">
      <c r="A85" t="s">
        <v>127</v>
      </c>
    </row>
    <row r="87" spans="1:2" x14ac:dyDescent="0.3">
      <c r="A87" t="s">
        <v>128</v>
      </c>
    </row>
    <row r="89" spans="1:2" x14ac:dyDescent="0.3">
      <c r="A89" t="s">
        <v>128</v>
      </c>
    </row>
    <row r="90" spans="1:2" x14ac:dyDescent="0.3">
      <c r="A90" t="s">
        <v>129</v>
      </c>
      <c r="B90" s="42">
        <v>43768</v>
      </c>
    </row>
    <row r="91" spans="1:2" x14ac:dyDescent="0.3">
      <c r="A91" t="s">
        <v>130</v>
      </c>
      <c r="B91" s="42">
        <v>54665</v>
      </c>
    </row>
    <row r="92" spans="1:2" x14ac:dyDescent="0.3">
      <c r="A92" t="s">
        <v>131</v>
      </c>
    </row>
    <row r="93" spans="1:2" x14ac:dyDescent="0.3">
      <c r="A93" t="s">
        <v>132</v>
      </c>
    </row>
    <row r="94" spans="1:2" x14ac:dyDescent="0.3">
      <c r="A94" t="s">
        <v>133</v>
      </c>
      <c r="B94" s="46">
        <v>44104</v>
      </c>
    </row>
    <row r="96" spans="1:2" x14ac:dyDescent="0.3">
      <c r="A96" t="s">
        <v>134</v>
      </c>
    </row>
    <row r="98" spans="1:1" x14ac:dyDescent="0.3">
      <c r="A98" t="s">
        <v>134</v>
      </c>
    </row>
    <row r="99" spans="1:1" x14ac:dyDescent="0.3">
      <c r="A99" t="s">
        <v>135</v>
      </c>
    </row>
    <row r="100" spans="1:1" x14ac:dyDescent="0.3">
      <c r="A100" t="s">
        <v>136</v>
      </c>
    </row>
    <row r="101" spans="1:1" x14ac:dyDescent="0.3">
      <c r="A101" t="s">
        <v>137</v>
      </c>
    </row>
    <row r="103" spans="1:1" x14ac:dyDescent="0.3">
      <c r="A103" t="s">
        <v>138</v>
      </c>
    </row>
    <row r="105" spans="1:1" x14ac:dyDescent="0.3">
      <c r="A105" t="s">
        <v>138</v>
      </c>
    </row>
    <row r="106" spans="1:1" x14ac:dyDescent="0.3">
      <c r="A106" t="s">
        <v>139</v>
      </c>
    </row>
    <row r="107" spans="1:1" x14ac:dyDescent="0.3">
      <c r="A107" t="s">
        <v>140</v>
      </c>
    </row>
    <row r="109" spans="1:1" x14ac:dyDescent="0.3">
      <c r="A109" t="s">
        <v>141</v>
      </c>
    </row>
    <row r="111" spans="1:1" x14ac:dyDescent="0.3">
      <c r="A111" t="s">
        <v>142</v>
      </c>
    </row>
    <row r="112" spans="1:1" x14ac:dyDescent="0.3">
      <c r="A112" t="s">
        <v>143</v>
      </c>
    </row>
    <row r="113" spans="1:1" x14ac:dyDescent="0.3">
      <c r="A113" t="s">
        <v>144</v>
      </c>
    </row>
    <row r="114" spans="1:1" x14ac:dyDescent="0.3">
      <c r="A114" t="s">
        <v>145</v>
      </c>
    </row>
    <row r="115" spans="1:1" x14ac:dyDescent="0.3">
      <c r="A115" t="s">
        <v>146</v>
      </c>
    </row>
    <row r="117" spans="1:1" x14ac:dyDescent="0.3">
      <c r="A117" t="s">
        <v>147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9</vt:i4>
      </vt:variant>
    </vt:vector>
  </HeadingPairs>
  <TitlesOfParts>
    <vt:vector size="16" baseType="lpstr">
      <vt:lpstr>Model 1</vt:lpstr>
      <vt:lpstr>Model 2</vt:lpstr>
      <vt:lpstr>Model 3</vt:lpstr>
      <vt:lpstr>Model 4</vt:lpstr>
      <vt:lpstr>Model 5</vt:lpstr>
      <vt:lpstr>수익률, 듀레이션 VBA</vt:lpstr>
      <vt:lpstr>종목정보</vt:lpstr>
      <vt:lpstr>cPmt</vt:lpstr>
      <vt:lpstr>Cpns</vt:lpstr>
      <vt:lpstr>CR</vt:lpstr>
      <vt:lpstr>Disc</vt:lpstr>
      <vt:lpstr>f</vt:lpstr>
      <vt:lpstr>Face</vt:lpstr>
      <vt:lpstr>종목정보!KR6017811995</vt:lpstr>
      <vt:lpstr>Life</vt:lpstr>
      <vt:lps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leezz</dc:creator>
  <cp:lastModifiedBy>Leessx</cp:lastModifiedBy>
  <dcterms:created xsi:type="dcterms:W3CDTF">2020-10-28T02:18:37Z</dcterms:created>
  <dcterms:modified xsi:type="dcterms:W3CDTF">2020-12-11T08:54:36Z</dcterms:modified>
</cp:coreProperties>
</file>